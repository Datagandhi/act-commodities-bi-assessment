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63799B54-4C73-4EEC-BF5B-ED09C8CC74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 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9" i="1" l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C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<sst xmlns="http://schemas.openxmlformats.org/spreadsheetml/2006/main" count="2299" uniqueCount="249">
  <si>
    <t>CompanyCode</t>
  </si>
  <si>
    <t>TradelineNumber</t>
  </si>
  <si>
    <t>Type</t>
  </si>
  <si>
    <t>RecordSource</t>
  </si>
  <si>
    <t>TradeType</t>
  </si>
  <si>
    <t>TradelineStatus</t>
  </si>
  <si>
    <t>Direction</t>
  </si>
  <si>
    <t>MatchIndicator</t>
  </si>
  <si>
    <t>DealDate</t>
  </si>
  <si>
    <t>Closed Date</t>
  </si>
  <si>
    <t>L1_ProductGroup</t>
  </si>
  <si>
    <t>L2_Subgroup</t>
  </si>
  <si>
    <t>L3_Category</t>
  </si>
  <si>
    <t>L4_SubCategory</t>
  </si>
  <si>
    <t>AccountName</t>
  </si>
  <si>
    <t>Trader</t>
  </si>
  <si>
    <t>PnlSplitPercentage</t>
  </si>
  <si>
    <t>UnitOfMeasure</t>
  </si>
  <si>
    <t>Price</t>
  </si>
  <si>
    <t>Revenue</t>
  </si>
  <si>
    <t>Currency</t>
  </si>
  <si>
    <t>TRAD</t>
  </si>
  <si>
    <t>Trade</t>
  </si>
  <si>
    <t>Commodities CRM</t>
  </si>
  <si>
    <t>Future</t>
  </si>
  <si>
    <t>Open Order</t>
  </si>
  <si>
    <t>Buy</t>
  </si>
  <si>
    <t>Hedged</t>
  </si>
  <si>
    <t>Certificates</t>
  </si>
  <si>
    <t>Emissions Reduction</t>
  </si>
  <si>
    <t>Allowances</t>
  </si>
  <si>
    <t>Compliance</t>
  </si>
  <si>
    <t>Tons</t>
  </si>
  <si>
    <t>EUR</t>
  </si>
  <si>
    <t>T00000060-1.00</t>
  </si>
  <si>
    <t>Spot</t>
  </si>
  <si>
    <t>Invoiced</t>
  </si>
  <si>
    <t>Sell</t>
  </si>
  <si>
    <t>Matched</t>
  </si>
  <si>
    <t>Allowance</t>
  </si>
  <si>
    <t>T00000062-1.00</t>
  </si>
  <si>
    <t>T00000076-1.00</t>
  </si>
  <si>
    <t>Forward</t>
  </si>
  <si>
    <t>T00000103-1.00</t>
  </si>
  <si>
    <t>Physical fuels</t>
  </si>
  <si>
    <t>Biofuels</t>
  </si>
  <si>
    <t>MT</t>
  </si>
  <si>
    <t>Energy Efficiency (White Certificates)</t>
  </si>
  <si>
    <t>KWhc</t>
  </si>
  <si>
    <t>T00000169-1.00</t>
  </si>
  <si>
    <t>T00000172-1.00</t>
  </si>
  <si>
    <t>T00000214-1.00</t>
  </si>
  <si>
    <t>T00000216-1.00</t>
  </si>
  <si>
    <t>Offset Projects</t>
  </si>
  <si>
    <t>Voluntary</t>
  </si>
  <si>
    <t>Credits</t>
  </si>
  <si>
    <t>T00000225-1.00</t>
  </si>
  <si>
    <t>Renewable Transport Fuels Credits</t>
  </si>
  <si>
    <t>Certificat</t>
  </si>
  <si>
    <t>T00000226-1.00</t>
  </si>
  <si>
    <t>T00000246-1.00</t>
  </si>
  <si>
    <t>T00000246-1.01</t>
  </si>
  <si>
    <t>T00000246-1.02</t>
  </si>
  <si>
    <t>T00000272-1.00</t>
  </si>
  <si>
    <t>Energy Attribute (Green Certificate)</t>
  </si>
  <si>
    <t>Goods Delivered</t>
  </si>
  <si>
    <t>Goods Received</t>
  </si>
  <si>
    <t>Planned</t>
  </si>
  <si>
    <t>Authorizat</t>
  </si>
  <si>
    <t>ENER</t>
  </si>
  <si>
    <t>T00008940-1.00</t>
  </si>
  <si>
    <t>T00008941-1.00</t>
  </si>
  <si>
    <t>T00008959-1.00</t>
  </si>
  <si>
    <t>T00008959-1.01</t>
  </si>
  <si>
    <t>T00009085-1.00</t>
  </si>
  <si>
    <t>T00009220-1.00</t>
  </si>
  <si>
    <t>T00013356-1.00</t>
  </si>
  <si>
    <t>T00013357-1.00</t>
  </si>
  <si>
    <t>T00013364-1.00</t>
  </si>
  <si>
    <t>T00013366-1.00</t>
  </si>
  <si>
    <t>T00013375-1.00</t>
  </si>
  <si>
    <t>T00013397-1.00</t>
  </si>
  <si>
    <t>T00013397-1.01</t>
  </si>
  <si>
    <t>T00013397-1.02</t>
  </si>
  <si>
    <t>T00013397-1.03</t>
  </si>
  <si>
    <t>T00013445-1.00</t>
  </si>
  <si>
    <t>T00013575-1.00</t>
  </si>
  <si>
    <t>Paid</t>
  </si>
  <si>
    <t>UFUE</t>
  </si>
  <si>
    <t>T00025467-1.00</t>
  </si>
  <si>
    <t>T00025468-1.00</t>
  </si>
  <si>
    <t>T00025615-1.00</t>
  </si>
  <si>
    <t>T00025617-1.00</t>
  </si>
  <si>
    <t>T00025765-1.00</t>
  </si>
  <si>
    <t>T00025773-1.00</t>
  </si>
  <si>
    <t>T00025876-1.00</t>
  </si>
  <si>
    <t>T00025883-1.00</t>
  </si>
  <si>
    <t>UREC</t>
  </si>
  <si>
    <t>T00025961-1.00</t>
  </si>
  <si>
    <t>T00025962-1.00</t>
  </si>
  <si>
    <t>T00025967-1.00</t>
  </si>
  <si>
    <t>T00025969-1.00</t>
  </si>
  <si>
    <t>T00025970-1.00</t>
  </si>
  <si>
    <t>T00025984-1.00</t>
  </si>
  <si>
    <t>T00025995-1.00</t>
  </si>
  <si>
    <t>T00025997-1.00</t>
  </si>
  <si>
    <t>T00026291-1.00</t>
  </si>
  <si>
    <t>T00026292-1.00</t>
  </si>
  <si>
    <t>T00026293-1.00</t>
  </si>
  <si>
    <t>T00026294-1.00</t>
  </si>
  <si>
    <t>T00026295-1.00</t>
  </si>
  <si>
    <t>T00026296-1.00</t>
  </si>
  <si>
    <t>T00026297-1.00</t>
  </si>
  <si>
    <t>T00026298-1.00</t>
  </si>
  <si>
    <t>FRAN</t>
  </si>
  <si>
    <t>T00061319-1.00</t>
  </si>
  <si>
    <t>T00061320-1.00</t>
  </si>
  <si>
    <t>T00062766-1.00</t>
  </si>
  <si>
    <t>T00062767-1.00</t>
  </si>
  <si>
    <t>T00062769-1.00</t>
  </si>
  <si>
    <t>T00062770-1.00</t>
  </si>
  <si>
    <t>T00062772-1.00</t>
  </si>
  <si>
    <t>T00062773-1.00</t>
  </si>
  <si>
    <t>T00062776-1.00</t>
  </si>
  <si>
    <t>T00062779-1.00</t>
  </si>
  <si>
    <t>T00063630-1.00</t>
  </si>
  <si>
    <t>T00063632-1.00</t>
  </si>
  <si>
    <t>FSSO</t>
  </si>
  <si>
    <t>TM00000001-1.00</t>
  </si>
  <si>
    <t>Mifid CRM</t>
  </si>
  <si>
    <t>TM00000002-1.00</t>
  </si>
  <si>
    <t>TM00000002-1.01</t>
  </si>
  <si>
    <t>TM00000003-1.00</t>
  </si>
  <si>
    <t>TM00000004-1.00</t>
  </si>
  <si>
    <t>TM00000005-1.00</t>
  </si>
  <si>
    <t>TM00000006-1.00</t>
  </si>
  <si>
    <t>TM00000007-1.00</t>
  </si>
  <si>
    <t>TM00000008-1.00</t>
  </si>
  <si>
    <t>TM00000009-1.00</t>
  </si>
  <si>
    <t>TM00000010-1.00</t>
  </si>
  <si>
    <t>TM00000011-1.00</t>
  </si>
  <si>
    <t>TM00000011-1.01</t>
  </si>
  <si>
    <t>TM00000011-1.02</t>
  </si>
  <si>
    <t>Trader 1</t>
  </si>
  <si>
    <t>Trader 2</t>
  </si>
  <si>
    <t>Trader 4</t>
  </si>
  <si>
    <t>Trader 5</t>
  </si>
  <si>
    <t>Trader 6</t>
  </si>
  <si>
    <t>Trader 7</t>
  </si>
  <si>
    <t>Trader 8</t>
  </si>
  <si>
    <t>Trader 9</t>
  </si>
  <si>
    <t>Trader 10</t>
  </si>
  <si>
    <t>Trader 11</t>
  </si>
  <si>
    <t>Trader 12</t>
  </si>
  <si>
    <t>Trader 13</t>
  </si>
  <si>
    <t>Trader 14</t>
  </si>
  <si>
    <t>Trader 17</t>
  </si>
  <si>
    <t>Trader 18</t>
  </si>
  <si>
    <t>Trader 19</t>
  </si>
  <si>
    <t>Trader 20</t>
  </si>
  <si>
    <t>Trader 21</t>
  </si>
  <si>
    <t>Trader 22</t>
  </si>
  <si>
    <t>Trader 23</t>
  </si>
  <si>
    <t>Trader 24</t>
  </si>
  <si>
    <t>Trader 25</t>
  </si>
  <si>
    <t>Trader 26</t>
  </si>
  <si>
    <t>Account 1</t>
  </si>
  <si>
    <t>Account 3</t>
  </si>
  <si>
    <t>Account 4</t>
  </si>
  <si>
    <t>Account 5</t>
  </si>
  <si>
    <t>Account 6</t>
  </si>
  <si>
    <t>Account 7</t>
  </si>
  <si>
    <t>Account 8</t>
  </si>
  <si>
    <t>Account 9</t>
  </si>
  <si>
    <t>Account 10</t>
  </si>
  <si>
    <t>Account 11</t>
  </si>
  <si>
    <t>Account 12</t>
  </si>
  <si>
    <t>Account 13</t>
  </si>
  <si>
    <t>Account 14</t>
  </si>
  <si>
    <t>Account 15</t>
  </si>
  <si>
    <t>Account 16</t>
  </si>
  <si>
    <t>Account 17</t>
  </si>
  <si>
    <t>Account 18</t>
  </si>
  <si>
    <t>Account 19</t>
  </si>
  <si>
    <t>Account 20</t>
  </si>
  <si>
    <t>Account 21</t>
  </si>
  <si>
    <t>Account 22</t>
  </si>
  <si>
    <t>Account 23</t>
  </si>
  <si>
    <t>Account 24</t>
  </si>
  <si>
    <t>Account 25</t>
  </si>
  <si>
    <t>Account 26</t>
  </si>
  <si>
    <t>Account 27</t>
  </si>
  <si>
    <t>Account 28</t>
  </si>
  <si>
    <t>Account 29</t>
  </si>
  <si>
    <t>Account 30</t>
  </si>
  <si>
    <t>Account 31</t>
  </si>
  <si>
    <t>Account 32</t>
  </si>
  <si>
    <t>Account 33</t>
  </si>
  <si>
    <t>Account 34</t>
  </si>
  <si>
    <t>Account 35</t>
  </si>
  <si>
    <t>Account 36</t>
  </si>
  <si>
    <t>Product 1</t>
  </si>
  <si>
    <t>Product 3</t>
  </si>
  <si>
    <t>Product 4</t>
  </si>
  <si>
    <t>Product 5</t>
  </si>
  <si>
    <t>Product 6</t>
  </si>
  <si>
    <t>Product 7</t>
  </si>
  <si>
    <t>Product 8</t>
  </si>
  <si>
    <t>Product 10</t>
  </si>
  <si>
    <t>Product 11</t>
  </si>
  <si>
    <t>Product 12</t>
  </si>
  <si>
    <t>ProductNumber2</t>
  </si>
  <si>
    <t>Account Parent</t>
  </si>
  <si>
    <t>Parent 1</t>
  </si>
  <si>
    <t>Parent 2</t>
  </si>
  <si>
    <t>Account Country</t>
  </si>
  <si>
    <t>Parent 3</t>
  </si>
  <si>
    <t>Parent 7</t>
  </si>
  <si>
    <t>Parent 8</t>
  </si>
  <si>
    <t>Parent 4</t>
  </si>
  <si>
    <t>Parent 5</t>
  </si>
  <si>
    <t>Parent 6</t>
  </si>
  <si>
    <t>Parent 9</t>
  </si>
  <si>
    <t>Parent 10</t>
  </si>
  <si>
    <t>Parent 11</t>
  </si>
  <si>
    <t>Parent 12</t>
  </si>
  <si>
    <t>Parent 13</t>
  </si>
  <si>
    <t>Parent 14</t>
  </si>
  <si>
    <t>Parent 15</t>
  </si>
  <si>
    <t>NLD</t>
  </si>
  <si>
    <t>FRA</t>
  </si>
  <si>
    <t>GER</t>
  </si>
  <si>
    <t>NOR</t>
  </si>
  <si>
    <t>USA</t>
  </si>
  <si>
    <t>ITA</t>
  </si>
  <si>
    <t>POL</t>
  </si>
  <si>
    <t>CAN</t>
  </si>
  <si>
    <t>Job Position</t>
  </si>
  <si>
    <t>Sales Trader</t>
  </si>
  <si>
    <t>Department</t>
  </si>
  <si>
    <t>Front Office FS</t>
  </si>
  <si>
    <t>Front Office US</t>
  </si>
  <si>
    <t>Front Office Commodities</t>
  </si>
  <si>
    <t>Front Office France</t>
  </si>
  <si>
    <t>Volume</t>
  </si>
  <si>
    <t>Inter Company Account</t>
  </si>
  <si>
    <t>MtM Price</t>
  </si>
  <si>
    <t>COGS</t>
  </si>
  <si>
    <t>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</si>
</sst>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109">
  <autoFilter ref="A1:AE109" xr:uid="{00000000-000C-0000-FFFF-FFFF00000000}"/>
  <sortState xmlns:xlrd2="http://schemas.microsoft.com/office/spreadsheetml/2017/richdata2" ref="A2:AE109">
    <sortCondition ref="B1:B109"/>
  </sortState>
  <tableColumns count="31">
    <tableColumn id="1" xr3:uid="{00000000-0010-0000-0000-000001000000}" name="CompanyCode"/>
    <tableColumn id="3" xr3:uid="{00000000-0010-0000-0000-000003000000}" name="TradelineNumber"/>
    <tableColumn id="5" xr3:uid="{00000000-0010-0000-0000-000005000000}" name="Type"/>
    <tableColumn id="6" xr3:uid="{00000000-0010-0000-0000-000006000000}" name="RecordSource"/>
    <tableColumn id="7" xr3:uid="{00000000-0010-0000-0000-000007000000}" name="TradeType"/>
    <tableColumn id="9" xr3:uid="{00000000-0010-0000-0000-000009000000}" name="TradelineStatus"/>
    <tableColumn id="10" xr3:uid="{00000000-0010-0000-0000-00000A000000}" name="Direction"/>
    <tableColumn id="11" xr3:uid="{00000000-0010-0000-0000-00000B000000}" name="MatchIndicator"/>
    <tableColumn id="16" xr3:uid="{00000000-0010-0000-0000-000010000000}" name="DealDate"/>
    <tableColumn id="17" xr3:uid="{00000000-0010-0000-0000-000011000000}" name="Closed Date"/>
    <tableColumn id="66" xr3:uid="{E218B9A6-8781-43EC-9B67-4A163C416253}" name="ProductNumber2" dataDxfId="6"/>
    <tableColumn id="27" xr3:uid="{00000000-0010-0000-0000-00001B000000}" name="L1_ProductGroup"/>
    <tableColumn id="28" xr3:uid="{00000000-0010-0000-0000-00001C000000}" name="L2_Subgroup"/>
    <tableColumn id="29" xr3:uid="{00000000-0010-0000-0000-00001D000000}" name="L3_Category"/>
    <tableColumn id="31" xr3:uid="{00000000-0010-0000-0000-00001F000000}" name="L4_SubCategory"/>
    <tableColumn id="65" xr3:uid="{6FE6DE46-4732-4B51-AFBC-5D793A512915}" name="AccountName" dataDxfId="5"/>
    <tableColumn id="15" xr3:uid="{98EAFF17-0918-478B-A0E4-4324FF24D909}" name="Inter Company Account" dataDxfId="4"/>
    <tableColumn id="2" xr3:uid="{2946A94A-2483-4011-B857-E697A3BECEBB}" name="Account Parent"/>
    <tableColumn id="20" xr3:uid="{1592B989-5E6F-4D84-95B4-2167993A335A}" name="Account Country" dataDxfId="3"/>
    <tableColumn id="64" xr3:uid="{75ACCC07-8E96-4681-BC5A-8159AADE2AC8}" name="Trader" dataDxfId="2"/>
    <tableColumn id="21" xr3:uid="{AD79DAA9-9CBD-4631-A52D-904818956C13}" name="Job Position"/>
    <tableColumn id="22" xr3:uid="{817454F6-0EF3-46E9-8D72-E4436B97BA80}" name="Department"/>
    <tableColumn id="46" xr3:uid="{00000000-0010-0000-0000-00002E000000}" name="PnlSplitPercentage"/>
    <tableColumn id="47" xr3:uid="{00000000-0010-0000-0000-00002F000000}" name="Volume"/>
    <tableColumn id="49" xr3:uid="{00000000-0010-0000-0000-000031000000}" name="UnitOfMeasure"/>
    <tableColumn id="58" xr3:uid="{00000000-0010-0000-0000-00003A000000}" name="Price"/>
    <tableColumn id="8" xr3:uid="{0E6A3D5D-7945-4CF9-B39B-71CE95810A40}" name="MtM Price" dataDxfId="1"/>
    <tableColumn id="59" xr3:uid="{00000000-0010-0000-0000-00003B000000}" name="COGS"/>
    <tableColumn id="60" xr3:uid="{00000000-0010-0000-0000-00003C000000}" name="Revenue"/>
    <tableColumn id="61" xr3:uid="{00000000-0010-0000-0000-00003D000000}" name="PnL" dataDxfId="0">
      <calculatedColumnFormula>(Table1[[#This Row],[MtM Price]]-Table1[[#This Row],[Price]])*Table1[[#This Row],[Volume]]</calculatedColumnFormula>
    </tableColumn>
    <tableColumn id="62" xr3:uid="{00000000-0010-0000-0000-00003E000000}" nam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9"/>
  <sheetViews>
    <sheetView tabSelected="1" zoomScale="110" workbookViewId="0"/>
  </sheetViews>
  <sheetFormatPr defaultRowHeight="14.4" x14ac:dyDescent="0.3"/>
  <cols>
    <col min="1" max="1" width="16.33203125" bestFit="1" customWidth="1"/>
    <col min="2" max="2" width="19.109375" bestFit="1" customWidth="1"/>
    <col min="3" max="3" width="7.5546875" bestFit="1" customWidth="1"/>
    <col min="4" max="4" width="17.5546875" bestFit="1" customWidth="1"/>
    <col min="5" max="5" width="12.5546875" bestFit="1" customWidth="1"/>
    <col min="6" max="6" width="17.33203125" bestFit="1" customWidth="1"/>
    <col min="7" max="7" width="11.44140625" bestFit="1" customWidth="1"/>
    <col min="8" max="8" width="16.88671875" bestFit="1" customWidth="1"/>
    <col min="9" max="9" width="11.44140625" bestFit="1" customWidth="1"/>
    <col min="10" max="10" width="13.88671875" bestFit="1" customWidth="1"/>
    <col min="11" max="11" width="18.5546875" bestFit="1" customWidth="1"/>
    <col min="12" max="12" width="18.6640625" bestFit="1" customWidth="1"/>
    <col min="13" max="14" width="34.6640625" bestFit="1" customWidth="1"/>
    <col min="15" max="15" width="17.44140625" bestFit="1" customWidth="1"/>
    <col min="16" max="16" width="15.88671875" bestFit="1" customWidth="1"/>
    <col min="17" max="17" width="24.33203125" bestFit="1" customWidth="1"/>
    <col min="18" max="18" width="16.88671875" bestFit="1" customWidth="1"/>
    <col min="19" max="19" width="18" bestFit="1" customWidth="1"/>
    <col min="20" max="20" width="9.109375" bestFit="1" customWidth="1"/>
    <col min="21" max="21" width="14" bestFit="1" customWidth="1"/>
    <col min="22" max="22" width="24.33203125" bestFit="1" customWidth="1"/>
    <col min="23" max="23" width="20.44140625" bestFit="1" customWidth="1"/>
    <col min="24" max="24" width="11.6640625" bestFit="1" customWidth="1"/>
    <col min="25" max="25" width="17.33203125" bestFit="1" customWidth="1"/>
    <col min="26" max="26" width="12.6640625" bestFit="1" customWidth="1"/>
    <col min="27" max="27" width="12.6640625" customWidth="1"/>
    <col min="28" max="28" width="15.6640625" bestFit="1" customWidth="1"/>
    <col min="29" max="29" width="11.109375" bestFit="1" customWidth="1"/>
    <col min="30" max="30" width="11" bestFit="1" customWidth="1"/>
    <col min="31" max="31" width="11.109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211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245</v>
      </c>
      <c r="R1" t="s">
        <v>212</v>
      </c>
      <c r="S1" t="s">
        <v>215</v>
      </c>
      <c r="T1" t="s">
        <v>15</v>
      </c>
      <c r="U1" t="s">
        <v>237</v>
      </c>
      <c r="V1" t="s">
        <v>239</v>
      </c>
      <c r="W1" t="s">
        <v>16</v>
      </c>
      <c r="X1" t="s">
        <v>244</v>
      </c>
      <c r="Y1" t="s">
        <v>17</v>
      </c>
      <c r="Z1" t="s">
        <v>18</v>
      </c>
      <c r="AA1" t="s">
        <v>246</v>
      </c>
      <c r="AB1" t="s">
        <v>247</v>
      </c>
      <c r="AC1" t="s">
        <v>19</v>
      </c>
      <c r="AD1" t="s">
        <v>248</v>
      </c>
      <c r="AE1" t="s">
        <v>20</v>
      </c>
    </row>
    <row r="2" spans="1:31" x14ac:dyDescent="0.3">
      <c r="A2" t="s">
        <v>21</v>
      </c>
      <c r="B2" t="s">
        <v>34</v>
      </c>
      <c r="C2" t="s">
        <v>22</v>
      </c>
      <c r="D2" t="s">
        <v>23</v>
      </c>
      <c r="E2" t="s">
        <v>35</v>
      </c>
      <c r="F2" t="s">
        <v>36</v>
      </c>
      <c r="G2" t="s">
        <v>37</v>
      </c>
      <c r="H2" t="s">
        <v>38</v>
      </c>
      <c r="I2" s="1">
        <v>45568</v>
      </c>
      <c r="K2" t="s">
        <v>201</v>
      </c>
      <c r="L2" t="s">
        <v>28</v>
      </c>
      <c r="M2" t="s">
        <v>29</v>
      </c>
      <c r="N2" t="s">
        <v>30</v>
      </c>
      <c r="O2" t="s">
        <v>31</v>
      </c>
      <c r="P2" t="s">
        <v>166</v>
      </c>
      <c r="Q2">
        <v>0</v>
      </c>
      <c r="R2" t="s">
        <v>218</v>
      </c>
      <c r="S2" t="s">
        <v>229</v>
      </c>
      <c r="T2" t="s">
        <v>143</v>
      </c>
      <c r="U2" t="s">
        <v>238</v>
      </c>
      <c r="V2" t="s">
        <v>242</v>
      </c>
      <c r="W2">
        <v>0</v>
      </c>
      <c r="X2">
        <v>-96000</v>
      </c>
      <c r="Y2" t="s">
        <v>39</v>
      </c>
      <c r="Z2">
        <v>7.12</v>
      </c>
      <c r="AA2">
        <v>6.7639999999999993</v>
      </c>
      <c r="AC2">
        <v>85440</v>
      </c>
      <c r="AD2">
        <f>(Table1[[#This Row],[MtM Price]]-Table1[[#This Row],[Price]])*Table1[[#This Row],[Volume]]</f>
        <v>34176.000000000073</v>
      </c>
      <c r="AE2" t="s">
        <v>33</v>
      </c>
    </row>
    <row r="3" spans="1:31" x14ac:dyDescent="0.3">
      <c r="A3" t="s">
        <v>21</v>
      </c>
      <c r="B3" t="s">
        <v>34</v>
      </c>
      <c r="C3" t="s">
        <v>22</v>
      </c>
      <c r="D3" t="s">
        <v>23</v>
      </c>
      <c r="E3" t="s">
        <v>35</v>
      </c>
      <c r="F3" t="s">
        <v>36</v>
      </c>
      <c r="G3" t="s">
        <v>37</v>
      </c>
      <c r="H3" t="s">
        <v>38</v>
      </c>
      <c r="I3" s="1">
        <v>45568</v>
      </c>
      <c r="K3" t="s">
        <v>201</v>
      </c>
      <c r="L3" t="s">
        <v>28</v>
      </c>
      <c r="M3" t="s">
        <v>29</v>
      </c>
      <c r="N3" t="s">
        <v>30</v>
      </c>
      <c r="O3" t="s">
        <v>31</v>
      </c>
      <c r="P3" t="s">
        <v>166</v>
      </c>
      <c r="Q3">
        <v>0</v>
      </c>
      <c r="R3" t="s">
        <v>218</v>
      </c>
      <c r="S3" t="s">
        <v>229</v>
      </c>
      <c r="T3" t="s">
        <v>144</v>
      </c>
      <c r="U3" t="s">
        <v>238</v>
      </c>
      <c r="V3" t="s">
        <v>242</v>
      </c>
      <c r="W3">
        <v>0</v>
      </c>
      <c r="X3">
        <v>-96000</v>
      </c>
      <c r="Y3" t="s">
        <v>39</v>
      </c>
      <c r="Z3">
        <v>7.12</v>
      </c>
      <c r="AA3">
        <v>6.7639999999999993</v>
      </c>
      <c r="AC3">
        <v>85440</v>
      </c>
      <c r="AD3">
        <f>(Table1[[#This Row],[MtM Price]]-Table1[[#This Row],[Price]])*Table1[[#This Row],[Volume]]</f>
        <v>34176.000000000073</v>
      </c>
      <c r="AE3" t="s">
        <v>33</v>
      </c>
    </row>
    <row r="4" spans="1:31" x14ac:dyDescent="0.3">
      <c r="A4" t="s">
        <v>21</v>
      </c>
      <c r="B4" t="s">
        <v>40</v>
      </c>
      <c r="C4" t="s">
        <v>22</v>
      </c>
      <c r="D4" t="s">
        <v>23</v>
      </c>
      <c r="E4" t="s">
        <v>35</v>
      </c>
      <c r="F4" t="s">
        <v>36</v>
      </c>
      <c r="G4" t="s">
        <v>37</v>
      </c>
      <c r="H4" t="s">
        <v>38</v>
      </c>
      <c r="I4" s="1">
        <v>45568</v>
      </c>
      <c r="K4" t="s">
        <v>201</v>
      </c>
      <c r="L4" t="s">
        <v>28</v>
      </c>
      <c r="M4" t="s">
        <v>29</v>
      </c>
      <c r="N4" t="s">
        <v>30</v>
      </c>
      <c r="O4" t="s">
        <v>31</v>
      </c>
      <c r="P4" t="s">
        <v>167</v>
      </c>
      <c r="Q4">
        <v>0</v>
      </c>
      <c r="R4" t="s">
        <v>218</v>
      </c>
      <c r="S4" t="s">
        <v>234</v>
      </c>
      <c r="T4" t="s">
        <v>143</v>
      </c>
      <c r="U4" t="s">
        <v>238</v>
      </c>
      <c r="V4" t="s">
        <v>242</v>
      </c>
      <c r="W4">
        <v>0</v>
      </c>
      <c r="X4">
        <v>-24000</v>
      </c>
      <c r="Y4" t="s">
        <v>39</v>
      </c>
      <c r="Z4">
        <v>7.12</v>
      </c>
      <c r="AA4">
        <v>6.7639999999999993</v>
      </c>
      <c r="AC4">
        <v>21360</v>
      </c>
      <c r="AD4">
        <f>(Table1[[#This Row],[MtM Price]]-Table1[[#This Row],[Price]])*Table1[[#This Row],[Volume]]</f>
        <v>8544.0000000000182</v>
      </c>
      <c r="AE4" t="s">
        <v>33</v>
      </c>
    </row>
    <row r="5" spans="1:31" x14ac:dyDescent="0.3">
      <c r="A5" t="s">
        <v>21</v>
      </c>
      <c r="B5" t="s">
        <v>40</v>
      </c>
      <c r="C5" t="s">
        <v>22</v>
      </c>
      <c r="D5" t="s">
        <v>23</v>
      </c>
      <c r="E5" t="s">
        <v>35</v>
      </c>
      <c r="F5" t="s">
        <v>36</v>
      </c>
      <c r="G5" t="s">
        <v>37</v>
      </c>
      <c r="H5" t="s">
        <v>38</v>
      </c>
      <c r="I5" s="1">
        <v>45568</v>
      </c>
      <c r="K5" t="s">
        <v>201</v>
      </c>
      <c r="L5" t="s">
        <v>28</v>
      </c>
      <c r="M5" t="s">
        <v>29</v>
      </c>
      <c r="N5" t="s">
        <v>30</v>
      </c>
      <c r="O5" t="s">
        <v>31</v>
      </c>
      <c r="P5" t="s">
        <v>167</v>
      </c>
      <c r="Q5">
        <v>0</v>
      </c>
      <c r="R5" t="s">
        <v>218</v>
      </c>
      <c r="S5" t="s">
        <v>234</v>
      </c>
      <c r="T5" t="s">
        <v>144</v>
      </c>
      <c r="U5" t="s">
        <v>238</v>
      </c>
      <c r="V5" t="s">
        <v>242</v>
      </c>
      <c r="W5">
        <v>0</v>
      </c>
      <c r="X5">
        <v>-24000</v>
      </c>
      <c r="Y5" t="s">
        <v>39</v>
      </c>
      <c r="Z5">
        <v>7.12</v>
      </c>
      <c r="AA5">
        <v>6.7639999999999993</v>
      </c>
      <c r="AC5">
        <v>21360</v>
      </c>
      <c r="AD5">
        <f>(Table1[[#This Row],[MtM Price]]-Table1[[#This Row],[Price]])*Table1[[#This Row],[Volume]]</f>
        <v>8544.0000000000182</v>
      </c>
      <c r="AE5" t="s">
        <v>33</v>
      </c>
    </row>
    <row r="6" spans="1:31" x14ac:dyDescent="0.3">
      <c r="A6" t="s">
        <v>21</v>
      </c>
      <c r="B6" t="s">
        <v>41</v>
      </c>
      <c r="C6" t="s">
        <v>22</v>
      </c>
      <c r="D6" t="s">
        <v>23</v>
      </c>
      <c r="E6" t="s">
        <v>42</v>
      </c>
      <c r="F6" t="s">
        <v>36</v>
      </c>
      <c r="G6" t="s">
        <v>37</v>
      </c>
      <c r="H6" t="s">
        <v>38</v>
      </c>
      <c r="I6" s="1">
        <v>45055</v>
      </c>
      <c r="K6" t="s">
        <v>201</v>
      </c>
      <c r="L6" t="s">
        <v>28</v>
      </c>
      <c r="M6" t="s">
        <v>29</v>
      </c>
      <c r="N6" t="s">
        <v>30</v>
      </c>
      <c r="O6" t="s">
        <v>31</v>
      </c>
      <c r="P6" t="s">
        <v>168</v>
      </c>
      <c r="Q6">
        <v>0</v>
      </c>
      <c r="R6" t="s">
        <v>218</v>
      </c>
      <c r="S6" t="s">
        <v>236</v>
      </c>
      <c r="T6" t="s">
        <v>144</v>
      </c>
      <c r="U6" t="s">
        <v>238</v>
      </c>
      <c r="V6" t="s">
        <v>242</v>
      </c>
      <c r="W6">
        <v>0</v>
      </c>
      <c r="X6">
        <v>-800000</v>
      </c>
      <c r="Y6" t="s">
        <v>39</v>
      </c>
      <c r="Z6">
        <v>6</v>
      </c>
      <c r="AA6">
        <v>5.6999999999999993</v>
      </c>
      <c r="AC6">
        <v>600000</v>
      </c>
      <c r="AD6">
        <f>(Table1[[#This Row],[MtM Price]]-Table1[[#This Row],[Price]])*Table1[[#This Row],[Volume]]</f>
        <v>240000.00000000058</v>
      </c>
      <c r="AE6" t="s">
        <v>33</v>
      </c>
    </row>
    <row r="7" spans="1:31" x14ac:dyDescent="0.3">
      <c r="A7" t="s">
        <v>21</v>
      </c>
      <c r="B7" t="s">
        <v>41</v>
      </c>
      <c r="C7" t="s">
        <v>22</v>
      </c>
      <c r="D7" t="s">
        <v>23</v>
      </c>
      <c r="E7" t="s">
        <v>42</v>
      </c>
      <c r="F7" t="s">
        <v>36</v>
      </c>
      <c r="G7" t="s">
        <v>37</v>
      </c>
      <c r="H7" t="s">
        <v>38</v>
      </c>
      <c r="I7" s="1">
        <v>45055</v>
      </c>
      <c r="K7" t="s">
        <v>201</v>
      </c>
      <c r="L7" t="s">
        <v>28</v>
      </c>
      <c r="M7" t="s">
        <v>29</v>
      </c>
      <c r="N7" t="s">
        <v>30</v>
      </c>
      <c r="O7" t="s">
        <v>31</v>
      </c>
      <c r="P7" t="s">
        <v>168</v>
      </c>
      <c r="Q7">
        <v>0</v>
      </c>
      <c r="R7" t="s">
        <v>218</v>
      </c>
      <c r="S7" t="s">
        <v>236</v>
      </c>
      <c r="T7" t="s">
        <v>145</v>
      </c>
      <c r="U7" t="s">
        <v>238</v>
      </c>
      <c r="V7" t="s">
        <v>242</v>
      </c>
      <c r="W7">
        <v>0</v>
      </c>
      <c r="X7">
        <v>-800000</v>
      </c>
      <c r="Y7" t="s">
        <v>39</v>
      </c>
      <c r="Z7">
        <v>6</v>
      </c>
      <c r="AA7">
        <v>5.6999999999999993</v>
      </c>
      <c r="AC7">
        <v>600000</v>
      </c>
      <c r="AD7">
        <f>(Table1[[#This Row],[MtM Price]]-Table1[[#This Row],[Price]])*Table1[[#This Row],[Volume]]</f>
        <v>240000.00000000058</v>
      </c>
      <c r="AE7" t="s">
        <v>33</v>
      </c>
    </row>
    <row r="8" spans="1:31" x14ac:dyDescent="0.3">
      <c r="A8" t="s">
        <v>21</v>
      </c>
      <c r="B8" t="s">
        <v>43</v>
      </c>
      <c r="C8" t="s">
        <v>22</v>
      </c>
      <c r="D8" t="s">
        <v>23</v>
      </c>
      <c r="E8" t="s">
        <v>42</v>
      </c>
      <c r="F8" t="s">
        <v>36</v>
      </c>
      <c r="G8" t="s">
        <v>37</v>
      </c>
      <c r="H8" t="s">
        <v>38</v>
      </c>
      <c r="I8" s="1">
        <v>45569</v>
      </c>
      <c r="K8" t="s">
        <v>202</v>
      </c>
      <c r="L8" t="s">
        <v>44</v>
      </c>
      <c r="M8" t="s">
        <v>45</v>
      </c>
      <c r="N8" t="s">
        <v>45</v>
      </c>
      <c r="O8" t="s">
        <v>45</v>
      </c>
      <c r="P8" t="s">
        <v>169</v>
      </c>
      <c r="Q8">
        <v>0</v>
      </c>
      <c r="R8" t="s">
        <v>222</v>
      </c>
      <c r="S8" t="s">
        <v>233</v>
      </c>
      <c r="T8" t="s">
        <v>146</v>
      </c>
      <c r="U8" t="s">
        <v>238</v>
      </c>
      <c r="V8" t="s">
        <v>242</v>
      </c>
      <c r="W8">
        <v>0</v>
      </c>
      <c r="X8">
        <v>-116.25</v>
      </c>
      <c r="Y8" t="s">
        <v>46</v>
      </c>
      <c r="Z8">
        <v>688</v>
      </c>
      <c r="AA8">
        <v>653.6</v>
      </c>
      <c r="AC8">
        <v>79980</v>
      </c>
      <c r="AD8">
        <f>(Table1[[#This Row],[MtM Price]]-Table1[[#This Row],[Price]])*Table1[[#This Row],[Volume]]</f>
        <v>3998.9999999999973</v>
      </c>
      <c r="AE8" t="s">
        <v>33</v>
      </c>
    </row>
    <row r="9" spans="1:31" x14ac:dyDescent="0.3">
      <c r="A9" t="s">
        <v>21</v>
      </c>
      <c r="B9" t="s">
        <v>49</v>
      </c>
      <c r="C9" t="s">
        <v>22</v>
      </c>
      <c r="D9" t="s">
        <v>23</v>
      </c>
      <c r="E9" t="s">
        <v>35</v>
      </c>
      <c r="F9" t="s">
        <v>36</v>
      </c>
      <c r="G9" t="s">
        <v>37</v>
      </c>
      <c r="H9" t="s">
        <v>38</v>
      </c>
      <c r="I9" s="1">
        <v>45569</v>
      </c>
      <c r="K9" t="s">
        <v>201</v>
      </c>
      <c r="L9" t="s">
        <v>28</v>
      </c>
      <c r="M9" t="s">
        <v>29</v>
      </c>
      <c r="N9" t="s">
        <v>30</v>
      </c>
      <c r="O9" t="s">
        <v>31</v>
      </c>
      <c r="P9" t="s">
        <v>170</v>
      </c>
      <c r="Q9">
        <v>0</v>
      </c>
      <c r="R9" t="s">
        <v>222</v>
      </c>
      <c r="S9" t="s">
        <v>233</v>
      </c>
      <c r="T9" t="s">
        <v>144</v>
      </c>
      <c r="U9" t="s">
        <v>238</v>
      </c>
      <c r="V9" t="s">
        <v>242</v>
      </c>
      <c r="W9">
        <v>0</v>
      </c>
      <c r="X9">
        <v>-400000</v>
      </c>
      <c r="Y9" t="s">
        <v>39</v>
      </c>
      <c r="Z9">
        <v>7.04</v>
      </c>
      <c r="AA9">
        <v>6.6879999999999997</v>
      </c>
      <c r="AC9">
        <v>352000</v>
      </c>
      <c r="AD9">
        <f>(Table1[[#This Row],[MtM Price]]-Table1[[#This Row],[Price]])*Table1[[#This Row],[Volume]]</f>
        <v>140800.00000000012</v>
      </c>
      <c r="AE9" t="s">
        <v>33</v>
      </c>
    </row>
    <row r="10" spans="1:31" x14ac:dyDescent="0.3">
      <c r="A10" t="s">
        <v>21</v>
      </c>
      <c r="B10" t="s">
        <v>49</v>
      </c>
      <c r="C10" t="s">
        <v>22</v>
      </c>
      <c r="D10" t="s">
        <v>23</v>
      </c>
      <c r="E10" t="s">
        <v>35</v>
      </c>
      <c r="F10" t="s">
        <v>36</v>
      </c>
      <c r="G10" t="s">
        <v>37</v>
      </c>
      <c r="H10" t="s">
        <v>38</v>
      </c>
      <c r="I10" s="1">
        <v>45569</v>
      </c>
      <c r="K10" t="s">
        <v>201</v>
      </c>
      <c r="L10" t="s">
        <v>28</v>
      </c>
      <c r="M10" t="s">
        <v>29</v>
      </c>
      <c r="N10" t="s">
        <v>30</v>
      </c>
      <c r="O10" t="s">
        <v>31</v>
      </c>
      <c r="P10" t="s">
        <v>170</v>
      </c>
      <c r="Q10">
        <v>0</v>
      </c>
      <c r="R10" t="s">
        <v>222</v>
      </c>
      <c r="S10" t="s">
        <v>233</v>
      </c>
      <c r="T10" t="s">
        <v>147</v>
      </c>
      <c r="U10" t="s">
        <v>238</v>
      </c>
      <c r="V10" t="s">
        <v>242</v>
      </c>
      <c r="W10">
        <v>0</v>
      </c>
      <c r="X10">
        <v>-400000</v>
      </c>
      <c r="Y10" t="s">
        <v>39</v>
      </c>
      <c r="Z10">
        <v>7.04</v>
      </c>
      <c r="AA10">
        <v>6.6879999999999997</v>
      </c>
      <c r="AC10">
        <v>352000</v>
      </c>
      <c r="AD10">
        <f>(Table1[[#This Row],[MtM Price]]-Table1[[#This Row],[Price]])*Table1[[#This Row],[Volume]]</f>
        <v>140800.00000000012</v>
      </c>
      <c r="AE10" t="s">
        <v>33</v>
      </c>
    </row>
    <row r="11" spans="1:31" x14ac:dyDescent="0.3">
      <c r="A11" t="s">
        <v>21</v>
      </c>
      <c r="B11" t="s">
        <v>50</v>
      </c>
      <c r="C11" t="s">
        <v>22</v>
      </c>
      <c r="D11" t="s">
        <v>23</v>
      </c>
      <c r="E11" t="s">
        <v>35</v>
      </c>
      <c r="F11" t="s">
        <v>36</v>
      </c>
      <c r="G11" t="s">
        <v>37</v>
      </c>
      <c r="H11" t="s">
        <v>38</v>
      </c>
      <c r="I11" s="1">
        <v>45569</v>
      </c>
      <c r="K11" t="s">
        <v>201</v>
      </c>
      <c r="L11" t="s">
        <v>28</v>
      </c>
      <c r="M11" t="s">
        <v>29</v>
      </c>
      <c r="N11" t="s">
        <v>30</v>
      </c>
      <c r="O11" t="s">
        <v>31</v>
      </c>
      <c r="P11" t="s">
        <v>171</v>
      </c>
      <c r="Q11">
        <v>0</v>
      </c>
      <c r="R11" t="s">
        <v>222</v>
      </c>
      <c r="S11" t="s">
        <v>236</v>
      </c>
      <c r="T11" t="s">
        <v>144</v>
      </c>
      <c r="U11" t="s">
        <v>238</v>
      </c>
      <c r="V11" t="s">
        <v>242</v>
      </c>
      <c r="W11">
        <v>0</v>
      </c>
      <c r="X11">
        <v>-800000</v>
      </c>
      <c r="Y11" t="s">
        <v>39</v>
      </c>
      <c r="Z11">
        <v>6.95</v>
      </c>
      <c r="AA11">
        <v>6.6025</v>
      </c>
      <c r="AC11">
        <v>695000</v>
      </c>
      <c r="AD11">
        <f>(Table1[[#This Row],[MtM Price]]-Table1[[#This Row],[Price]])*Table1[[#This Row],[Volume]]</f>
        <v>278000.00000000012</v>
      </c>
      <c r="AE11" t="s">
        <v>33</v>
      </c>
    </row>
    <row r="12" spans="1:31" x14ac:dyDescent="0.3">
      <c r="A12" t="s">
        <v>21</v>
      </c>
      <c r="B12" t="s">
        <v>50</v>
      </c>
      <c r="C12" t="s">
        <v>22</v>
      </c>
      <c r="D12" t="s">
        <v>23</v>
      </c>
      <c r="E12" t="s">
        <v>35</v>
      </c>
      <c r="F12" t="s">
        <v>36</v>
      </c>
      <c r="G12" t="s">
        <v>37</v>
      </c>
      <c r="H12" t="s">
        <v>38</v>
      </c>
      <c r="I12" s="1">
        <v>45569</v>
      </c>
      <c r="K12" t="s">
        <v>201</v>
      </c>
      <c r="L12" t="s">
        <v>28</v>
      </c>
      <c r="M12" t="s">
        <v>29</v>
      </c>
      <c r="N12" t="s">
        <v>30</v>
      </c>
      <c r="O12" t="s">
        <v>31</v>
      </c>
      <c r="P12" t="s">
        <v>171</v>
      </c>
      <c r="Q12">
        <v>0</v>
      </c>
      <c r="R12" t="s">
        <v>222</v>
      </c>
      <c r="S12" t="s">
        <v>236</v>
      </c>
      <c r="T12" t="s">
        <v>148</v>
      </c>
      <c r="U12" t="s">
        <v>238</v>
      </c>
      <c r="V12" t="s">
        <v>242</v>
      </c>
      <c r="W12">
        <v>0</v>
      </c>
      <c r="X12">
        <v>-800000</v>
      </c>
      <c r="Y12" t="s">
        <v>39</v>
      </c>
      <c r="Z12">
        <v>6.95</v>
      </c>
      <c r="AA12">
        <v>6.6025</v>
      </c>
      <c r="AC12">
        <v>695000</v>
      </c>
      <c r="AD12">
        <f>(Table1[[#This Row],[MtM Price]]-Table1[[#This Row],[Price]])*Table1[[#This Row],[Volume]]</f>
        <v>278000.00000000012</v>
      </c>
      <c r="AE12" t="s">
        <v>33</v>
      </c>
    </row>
    <row r="13" spans="1:31" x14ac:dyDescent="0.3">
      <c r="A13" t="s">
        <v>21</v>
      </c>
      <c r="B13" t="s">
        <v>51</v>
      </c>
      <c r="C13" t="s">
        <v>22</v>
      </c>
      <c r="D13" t="s">
        <v>23</v>
      </c>
      <c r="E13" t="s">
        <v>35</v>
      </c>
      <c r="F13" t="s">
        <v>36</v>
      </c>
      <c r="G13" t="s">
        <v>37</v>
      </c>
      <c r="H13" t="s">
        <v>38</v>
      </c>
      <c r="I13" s="1">
        <v>45570</v>
      </c>
      <c r="K13" t="s">
        <v>201</v>
      </c>
      <c r="L13" t="s">
        <v>28</v>
      </c>
      <c r="M13" t="s">
        <v>29</v>
      </c>
      <c r="N13" t="s">
        <v>30</v>
      </c>
      <c r="O13" t="s">
        <v>31</v>
      </c>
      <c r="P13" t="s">
        <v>172</v>
      </c>
      <c r="Q13">
        <v>0</v>
      </c>
      <c r="R13" t="s">
        <v>222</v>
      </c>
      <c r="S13" t="s">
        <v>229</v>
      </c>
      <c r="T13" t="s">
        <v>149</v>
      </c>
      <c r="U13" t="s">
        <v>238</v>
      </c>
      <c r="V13" t="s">
        <v>242</v>
      </c>
      <c r="W13">
        <v>0</v>
      </c>
      <c r="X13">
        <v>-16000</v>
      </c>
      <c r="Y13" t="s">
        <v>39</v>
      </c>
      <c r="Z13">
        <v>6.9</v>
      </c>
      <c r="AA13">
        <v>6.5549999999999997</v>
      </c>
      <c r="AC13">
        <v>13800</v>
      </c>
      <c r="AD13">
        <f>(Table1[[#This Row],[MtM Price]]-Table1[[#This Row],[Price]])*Table1[[#This Row],[Volume]]</f>
        <v>5520.00000000001</v>
      </c>
      <c r="AE13" t="s">
        <v>33</v>
      </c>
    </row>
    <row r="14" spans="1:31" x14ac:dyDescent="0.3">
      <c r="A14" t="s">
        <v>21</v>
      </c>
      <c r="B14" t="s">
        <v>51</v>
      </c>
      <c r="C14" t="s">
        <v>22</v>
      </c>
      <c r="D14" t="s">
        <v>23</v>
      </c>
      <c r="E14" t="s">
        <v>35</v>
      </c>
      <c r="F14" t="s">
        <v>36</v>
      </c>
      <c r="G14" t="s">
        <v>37</v>
      </c>
      <c r="H14" t="s">
        <v>38</v>
      </c>
      <c r="I14" s="1">
        <v>45570</v>
      </c>
      <c r="K14" t="s">
        <v>201</v>
      </c>
      <c r="L14" t="s">
        <v>28</v>
      </c>
      <c r="M14" t="s">
        <v>29</v>
      </c>
      <c r="N14" t="s">
        <v>30</v>
      </c>
      <c r="O14" t="s">
        <v>31</v>
      </c>
      <c r="P14" t="s">
        <v>172</v>
      </c>
      <c r="Q14">
        <v>0</v>
      </c>
      <c r="R14" t="s">
        <v>222</v>
      </c>
      <c r="S14" t="s">
        <v>229</v>
      </c>
      <c r="T14" t="s">
        <v>144</v>
      </c>
      <c r="U14" t="s">
        <v>238</v>
      </c>
      <c r="V14" t="s">
        <v>242</v>
      </c>
      <c r="W14">
        <v>0</v>
      </c>
      <c r="X14">
        <v>-16000</v>
      </c>
      <c r="Y14" t="s">
        <v>39</v>
      </c>
      <c r="Z14">
        <v>6.9</v>
      </c>
      <c r="AA14">
        <v>6.5549999999999997</v>
      </c>
      <c r="AC14">
        <v>13800</v>
      </c>
      <c r="AD14">
        <f>(Table1[[#This Row],[MtM Price]]-Table1[[#This Row],[Price]])*Table1[[#This Row],[Volume]]</f>
        <v>5520.00000000001</v>
      </c>
      <c r="AE14" t="s">
        <v>33</v>
      </c>
    </row>
    <row r="15" spans="1:31" x14ac:dyDescent="0.3">
      <c r="A15" t="s">
        <v>21</v>
      </c>
      <c r="B15" t="s">
        <v>52</v>
      </c>
      <c r="C15" t="s">
        <v>22</v>
      </c>
      <c r="D15" t="s">
        <v>23</v>
      </c>
      <c r="E15" t="s">
        <v>35</v>
      </c>
      <c r="F15" t="s">
        <v>36</v>
      </c>
      <c r="G15" t="s">
        <v>37</v>
      </c>
      <c r="H15" t="s">
        <v>38</v>
      </c>
      <c r="I15" s="1">
        <v>45570</v>
      </c>
      <c r="K15" t="s">
        <v>203</v>
      </c>
      <c r="L15" t="s">
        <v>28</v>
      </c>
      <c r="M15" t="s">
        <v>29</v>
      </c>
      <c r="N15" t="s">
        <v>53</v>
      </c>
      <c r="O15" t="s">
        <v>54</v>
      </c>
      <c r="P15" t="s">
        <v>172</v>
      </c>
      <c r="Q15">
        <v>0</v>
      </c>
      <c r="R15" t="s">
        <v>222</v>
      </c>
      <c r="S15" t="s">
        <v>229</v>
      </c>
      <c r="T15" t="s">
        <v>149</v>
      </c>
      <c r="U15" t="s">
        <v>238</v>
      </c>
      <c r="V15" t="s">
        <v>242</v>
      </c>
      <c r="W15">
        <v>0</v>
      </c>
      <c r="X15">
        <v>-13000</v>
      </c>
      <c r="Y15" t="s">
        <v>55</v>
      </c>
      <c r="Z15">
        <v>0.4</v>
      </c>
      <c r="AA15">
        <v>0.38</v>
      </c>
      <c r="AC15">
        <v>400</v>
      </c>
      <c r="AD15">
        <f>(Table1[[#This Row],[MtM Price]]-Table1[[#This Row],[Price]])*Table1[[#This Row],[Volume]]</f>
        <v>260.00000000000023</v>
      </c>
      <c r="AE15" t="s">
        <v>33</v>
      </c>
    </row>
    <row r="16" spans="1:31" x14ac:dyDescent="0.3">
      <c r="A16" t="s">
        <v>21</v>
      </c>
      <c r="B16" t="s">
        <v>52</v>
      </c>
      <c r="C16" t="s">
        <v>22</v>
      </c>
      <c r="D16" t="s">
        <v>23</v>
      </c>
      <c r="E16" t="s">
        <v>35</v>
      </c>
      <c r="F16" t="s">
        <v>36</v>
      </c>
      <c r="G16" t="s">
        <v>37</v>
      </c>
      <c r="H16" t="s">
        <v>38</v>
      </c>
      <c r="I16" s="1">
        <v>45570</v>
      </c>
      <c r="K16" t="s">
        <v>203</v>
      </c>
      <c r="L16" t="s">
        <v>28</v>
      </c>
      <c r="M16" t="s">
        <v>29</v>
      </c>
      <c r="N16" t="s">
        <v>53</v>
      </c>
      <c r="O16" t="s">
        <v>54</v>
      </c>
      <c r="P16" t="s">
        <v>172</v>
      </c>
      <c r="Q16">
        <v>0</v>
      </c>
      <c r="R16" t="s">
        <v>222</v>
      </c>
      <c r="S16" t="s">
        <v>229</v>
      </c>
      <c r="T16" t="s">
        <v>144</v>
      </c>
      <c r="U16" t="s">
        <v>238</v>
      </c>
      <c r="V16" t="s">
        <v>242</v>
      </c>
      <c r="W16">
        <v>0</v>
      </c>
      <c r="X16">
        <v>-13000</v>
      </c>
      <c r="Y16" t="s">
        <v>55</v>
      </c>
      <c r="Z16">
        <v>0.4</v>
      </c>
      <c r="AA16">
        <v>0.38</v>
      </c>
      <c r="AC16">
        <f>Table1[[#This Row],[Volume]]*Table1[[#This Row],[Price]]</f>
        <v>-5200</v>
      </c>
      <c r="AD16">
        <f>(Table1[[#This Row],[MtM Price]]-Table1[[#This Row],[Price]])*Table1[[#This Row],[Volume]]</f>
        <v>260.00000000000023</v>
      </c>
      <c r="AE16" t="s">
        <v>33</v>
      </c>
    </row>
    <row r="17" spans="1:31" x14ac:dyDescent="0.3">
      <c r="A17" t="s">
        <v>21</v>
      </c>
      <c r="B17" t="s">
        <v>56</v>
      </c>
      <c r="C17" t="s">
        <v>22</v>
      </c>
      <c r="D17" t="s">
        <v>23</v>
      </c>
      <c r="E17" t="s">
        <v>42</v>
      </c>
      <c r="F17" t="s">
        <v>36</v>
      </c>
      <c r="G17" t="s">
        <v>26</v>
      </c>
      <c r="H17" t="s">
        <v>38</v>
      </c>
      <c r="I17" s="1">
        <v>45570</v>
      </c>
      <c r="J17" s="1">
        <v>45570</v>
      </c>
      <c r="K17" t="s">
        <v>204</v>
      </c>
      <c r="L17" t="s">
        <v>28</v>
      </c>
      <c r="M17" t="s">
        <v>29</v>
      </c>
      <c r="N17" t="s">
        <v>57</v>
      </c>
      <c r="O17" t="s">
        <v>31</v>
      </c>
      <c r="P17" t="s">
        <v>173</v>
      </c>
      <c r="Q17">
        <v>0</v>
      </c>
      <c r="R17" t="s">
        <v>219</v>
      </c>
      <c r="S17" t="s">
        <v>229</v>
      </c>
      <c r="T17" t="s">
        <v>150</v>
      </c>
      <c r="U17" t="s">
        <v>238</v>
      </c>
      <c r="V17" t="s">
        <v>242</v>
      </c>
      <c r="W17">
        <v>100</v>
      </c>
      <c r="X17">
        <v>53177</v>
      </c>
      <c r="Y17" t="s">
        <v>58</v>
      </c>
      <c r="Z17">
        <v>0.185393</v>
      </c>
      <c r="AA17">
        <v>0.19466265000000002</v>
      </c>
      <c r="AB17">
        <v>-9858.64</v>
      </c>
      <c r="AD17">
        <f>(Table1[[#This Row],[MtM Price]]-Table1[[#This Row],[Price]])*Table1[[#This Row],[Volume]]</f>
        <v>492.93217805000097</v>
      </c>
      <c r="AE17" t="s">
        <v>33</v>
      </c>
    </row>
    <row r="18" spans="1:31" x14ac:dyDescent="0.3">
      <c r="A18" t="s">
        <v>21</v>
      </c>
      <c r="B18" t="s">
        <v>59</v>
      </c>
      <c r="C18" t="s">
        <v>22</v>
      </c>
      <c r="D18" t="s">
        <v>23</v>
      </c>
      <c r="E18" t="s">
        <v>42</v>
      </c>
      <c r="F18" t="s">
        <v>36</v>
      </c>
      <c r="G18" t="s">
        <v>37</v>
      </c>
      <c r="H18" t="s">
        <v>38</v>
      </c>
      <c r="I18" s="1">
        <v>45570</v>
      </c>
      <c r="J18" s="1">
        <v>45570</v>
      </c>
      <c r="K18" t="s">
        <v>204</v>
      </c>
      <c r="L18" t="s">
        <v>28</v>
      </c>
      <c r="M18" t="s">
        <v>29</v>
      </c>
      <c r="N18" t="s">
        <v>57</v>
      </c>
      <c r="O18" t="s">
        <v>31</v>
      </c>
      <c r="P18" t="s">
        <v>174</v>
      </c>
      <c r="Q18">
        <v>0</v>
      </c>
      <c r="R18" t="s">
        <v>216</v>
      </c>
      <c r="S18" t="s">
        <v>230</v>
      </c>
      <c r="T18" t="s">
        <v>150</v>
      </c>
      <c r="U18" t="s">
        <v>238</v>
      </c>
      <c r="V18" t="s">
        <v>242</v>
      </c>
      <c r="W18">
        <v>100</v>
      </c>
      <c r="X18">
        <v>-53177</v>
      </c>
      <c r="Y18" t="s">
        <v>58</v>
      </c>
      <c r="Z18">
        <v>0.14685000000000001</v>
      </c>
      <c r="AA18">
        <v>0.13950750000000001</v>
      </c>
      <c r="AC18">
        <v>7809.04</v>
      </c>
      <c r="AD18">
        <f>(Table1[[#This Row],[MtM Price]]-Table1[[#This Row],[Price]])*Table1[[#This Row],[Volume]]</f>
        <v>390.45212250000009</v>
      </c>
      <c r="AE18" t="s">
        <v>33</v>
      </c>
    </row>
    <row r="19" spans="1:31" x14ac:dyDescent="0.3">
      <c r="A19" t="s">
        <v>21</v>
      </c>
      <c r="B19" t="s">
        <v>60</v>
      </c>
      <c r="C19" t="s">
        <v>22</v>
      </c>
      <c r="D19" t="s">
        <v>23</v>
      </c>
      <c r="E19" t="s">
        <v>42</v>
      </c>
      <c r="F19" t="s">
        <v>36</v>
      </c>
      <c r="G19" t="s">
        <v>37</v>
      </c>
      <c r="H19" t="s">
        <v>38</v>
      </c>
      <c r="I19" s="1">
        <v>45571</v>
      </c>
      <c r="J19" s="1"/>
      <c r="K19" t="s">
        <v>205</v>
      </c>
      <c r="L19" t="s">
        <v>44</v>
      </c>
      <c r="M19" t="s">
        <v>45</v>
      </c>
      <c r="N19" t="s">
        <v>45</v>
      </c>
      <c r="O19" t="s">
        <v>45</v>
      </c>
      <c r="P19" t="s">
        <v>175</v>
      </c>
      <c r="Q19">
        <v>1</v>
      </c>
      <c r="R19" t="s">
        <v>213</v>
      </c>
      <c r="S19" t="s">
        <v>229</v>
      </c>
      <c r="T19" t="s">
        <v>151</v>
      </c>
      <c r="U19" t="s">
        <v>238</v>
      </c>
      <c r="V19" t="s">
        <v>242</v>
      </c>
      <c r="W19">
        <v>0</v>
      </c>
      <c r="X19">
        <v>-25</v>
      </c>
      <c r="Y19" t="s">
        <v>46</v>
      </c>
      <c r="Z19">
        <v>465</v>
      </c>
      <c r="AA19">
        <v>372</v>
      </c>
      <c r="AC19">
        <v>11625</v>
      </c>
      <c r="AD19">
        <f>(Table1[[#This Row],[MtM Price]]-Table1[[#This Row],[Price]])*Table1[[#This Row],[Volume]]</f>
        <v>2325</v>
      </c>
      <c r="AE19" t="s">
        <v>33</v>
      </c>
    </row>
    <row r="20" spans="1:31" x14ac:dyDescent="0.3">
      <c r="A20" t="s">
        <v>21</v>
      </c>
      <c r="B20" t="s">
        <v>60</v>
      </c>
      <c r="C20" t="s">
        <v>22</v>
      </c>
      <c r="D20" t="s">
        <v>23</v>
      </c>
      <c r="E20" t="s">
        <v>42</v>
      </c>
      <c r="F20" t="s">
        <v>36</v>
      </c>
      <c r="G20" t="s">
        <v>37</v>
      </c>
      <c r="H20" t="s">
        <v>38</v>
      </c>
      <c r="I20" s="1">
        <v>45571</v>
      </c>
      <c r="J20" s="1"/>
      <c r="K20" t="s">
        <v>205</v>
      </c>
      <c r="L20" t="s">
        <v>44</v>
      </c>
      <c r="M20" t="s">
        <v>45</v>
      </c>
      <c r="N20" t="s">
        <v>45</v>
      </c>
      <c r="O20" t="s">
        <v>45</v>
      </c>
      <c r="P20" t="s">
        <v>175</v>
      </c>
      <c r="Q20">
        <v>1</v>
      </c>
      <c r="R20" t="s">
        <v>214</v>
      </c>
      <c r="S20" t="s">
        <v>229</v>
      </c>
      <c r="T20" t="s">
        <v>152</v>
      </c>
      <c r="U20" t="s">
        <v>238</v>
      </c>
      <c r="V20" t="s">
        <v>242</v>
      </c>
      <c r="W20">
        <v>0</v>
      </c>
      <c r="X20">
        <v>-25</v>
      </c>
      <c r="Y20" t="s">
        <v>46</v>
      </c>
      <c r="Z20">
        <v>465</v>
      </c>
      <c r="AA20">
        <v>372</v>
      </c>
      <c r="AC20">
        <v>11625</v>
      </c>
      <c r="AD20">
        <f>(Table1[[#This Row],[MtM Price]]-Table1[[#This Row],[Price]])*Table1[[#This Row],[Volume]]</f>
        <v>2325</v>
      </c>
      <c r="AE20" t="s">
        <v>33</v>
      </c>
    </row>
    <row r="21" spans="1:31" x14ac:dyDescent="0.3">
      <c r="A21" t="s">
        <v>21</v>
      </c>
      <c r="B21" t="s">
        <v>61</v>
      </c>
      <c r="C21" t="s">
        <v>22</v>
      </c>
      <c r="D21" t="s">
        <v>23</v>
      </c>
      <c r="E21" t="s">
        <v>42</v>
      </c>
      <c r="F21" t="s">
        <v>36</v>
      </c>
      <c r="G21" t="s">
        <v>37</v>
      </c>
      <c r="H21" t="s">
        <v>38</v>
      </c>
      <c r="I21" s="1">
        <v>45571</v>
      </c>
      <c r="J21" s="1"/>
      <c r="K21" t="s">
        <v>205</v>
      </c>
      <c r="L21" t="s">
        <v>44</v>
      </c>
      <c r="M21" t="s">
        <v>45</v>
      </c>
      <c r="N21" t="s">
        <v>45</v>
      </c>
      <c r="O21" t="s">
        <v>45</v>
      </c>
      <c r="P21" t="s">
        <v>175</v>
      </c>
      <c r="Q21">
        <v>1</v>
      </c>
      <c r="R21" t="s">
        <v>214</v>
      </c>
      <c r="S21" t="s">
        <v>229</v>
      </c>
      <c r="T21" t="s">
        <v>151</v>
      </c>
      <c r="U21" t="s">
        <v>238</v>
      </c>
      <c r="V21" t="s">
        <v>242</v>
      </c>
      <c r="W21">
        <v>0</v>
      </c>
      <c r="X21">
        <v>-25</v>
      </c>
      <c r="Y21" t="s">
        <v>46</v>
      </c>
      <c r="Z21">
        <v>465</v>
      </c>
      <c r="AA21">
        <v>372</v>
      </c>
      <c r="AC21">
        <v>11625</v>
      </c>
      <c r="AD21">
        <f>(Table1[[#This Row],[MtM Price]]-Table1[[#This Row],[Price]])*Table1[[#This Row],[Volume]]</f>
        <v>2325</v>
      </c>
      <c r="AE21" t="s">
        <v>33</v>
      </c>
    </row>
    <row r="22" spans="1:31" x14ac:dyDescent="0.3">
      <c r="A22" t="s">
        <v>21</v>
      </c>
      <c r="B22" t="s">
        <v>61</v>
      </c>
      <c r="C22" t="s">
        <v>22</v>
      </c>
      <c r="D22" t="s">
        <v>23</v>
      </c>
      <c r="E22" t="s">
        <v>42</v>
      </c>
      <c r="F22" t="s">
        <v>36</v>
      </c>
      <c r="G22" t="s">
        <v>37</v>
      </c>
      <c r="H22" t="s">
        <v>38</v>
      </c>
      <c r="I22" s="1">
        <v>45571</v>
      </c>
      <c r="J22" s="1"/>
      <c r="K22" t="s">
        <v>205</v>
      </c>
      <c r="L22" t="s">
        <v>44</v>
      </c>
      <c r="M22" t="s">
        <v>45</v>
      </c>
      <c r="N22" t="s">
        <v>45</v>
      </c>
      <c r="O22" t="s">
        <v>45</v>
      </c>
      <c r="P22" t="s">
        <v>175</v>
      </c>
      <c r="Q22">
        <v>1</v>
      </c>
      <c r="R22" t="s">
        <v>214</v>
      </c>
      <c r="S22" t="s">
        <v>229</v>
      </c>
      <c r="T22" t="s">
        <v>152</v>
      </c>
      <c r="U22" t="s">
        <v>238</v>
      </c>
      <c r="V22" t="s">
        <v>242</v>
      </c>
      <c r="W22">
        <v>0</v>
      </c>
      <c r="X22">
        <v>-25</v>
      </c>
      <c r="Y22" t="s">
        <v>46</v>
      </c>
      <c r="Z22">
        <v>465</v>
      </c>
      <c r="AA22">
        <v>372</v>
      </c>
      <c r="AC22">
        <v>11625</v>
      </c>
      <c r="AD22">
        <f>(Table1[[#This Row],[MtM Price]]-Table1[[#This Row],[Price]])*Table1[[#This Row],[Volume]]</f>
        <v>2325</v>
      </c>
      <c r="AE22" t="s">
        <v>33</v>
      </c>
    </row>
    <row r="23" spans="1:31" x14ac:dyDescent="0.3">
      <c r="A23" t="s">
        <v>21</v>
      </c>
      <c r="B23" t="s">
        <v>62</v>
      </c>
      <c r="C23" t="s">
        <v>22</v>
      </c>
      <c r="D23" t="s">
        <v>23</v>
      </c>
      <c r="E23" t="s">
        <v>42</v>
      </c>
      <c r="F23" t="s">
        <v>36</v>
      </c>
      <c r="G23" t="s">
        <v>37</v>
      </c>
      <c r="H23" t="s">
        <v>38</v>
      </c>
      <c r="I23" s="1">
        <v>45571</v>
      </c>
      <c r="J23" s="1"/>
      <c r="K23" t="s">
        <v>205</v>
      </c>
      <c r="L23" t="s">
        <v>44</v>
      </c>
      <c r="M23" t="s">
        <v>45</v>
      </c>
      <c r="N23" t="s">
        <v>45</v>
      </c>
      <c r="O23" t="s">
        <v>45</v>
      </c>
      <c r="P23" t="s">
        <v>175</v>
      </c>
      <c r="Q23">
        <v>1</v>
      </c>
      <c r="R23" t="s">
        <v>213</v>
      </c>
      <c r="S23" t="s">
        <v>229</v>
      </c>
      <c r="T23" t="s">
        <v>151</v>
      </c>
      <c r="U23" t="s">
        <v>238</v>
      </c>
      <c r="V23" t="s">
        <v>242</v>
      </c>
      <c r="W23">
        <v>0</v>
      </c>
      <c r="X23">
        <v>-25</v>
      </c>
      <c r="Y23" t="s">
        <v>46</v>
      </c>
      <c r="Z23">
        <v>465</v>
      </c>
      <c r="AA23">
        <v>372</v>
      </c>
      <c r="AC23">
        <v>11625</v>
      </c>
      <c r="AD23">
        <f>(Table1[[#This Row],[MtM Price]]-Table1[[#This Row],[Price]])*Table1[[#This Row],[Volume]]</f>
        <v>2325</v>
      </c>
      <c r="AE23" t="s">
        <v>33</v>
      </c>
    </row>
    <row r="24" spans="1:31" x14ac:dyDescent="0.3">
      <c r="A24" t="s">
        <v>21</v>
      </c>
      <c r="B24" t="s">
        <v>62</v>
      </c>
      <c r="C24" t="s">
        <v>22</v>
      </c>
      <c r="D24" t="s">
        <v>23</v>
      </c>
      <c r="E24" t="s">
        <v>42</v>
      </c>
      <c r="F24" t="s">
        <v>36</v>
      </c>
      <c r="G24" t="s">
        <v>37</v>
      </c>
      <c r="H24" t="s">
        <v>38</v>
      </c>
      <c r="I24" s="1">
        <v>45571</v>
      </c>
      <c r="J24" s="1"/>
      <c r="K24" t="s">
        <v>205</v>
      </c>
      <c r="L24" t="s">
        <v>44</v>
      </c>
      <c r="M24" t="s">
        <v>45</v>
      </c>
      <c r="N24" t="s">
        <v>45</v>
      </c>
      <c r="O24" t="s">
        <v>45</v>
      </c>
      <c r="P24" t="s">
        <v>175</v>
      </c>
      <c r="Q24">
        <v>1</v>
      </c>
      <c r="R24" t="s">
        <v>214</v>
      </c>
      <c r="S24" t="s">
        <v>229</v>
      </c>
      <c r="T24" t="s">
        <v>152</v>
      </c>
      <c r="U24" t="s">
        <v>238</v>
      </c>
      <c r="V24" t="s">
        <v>242</v>
      </c>
      <c r="W24">
        <v>0</v>
      </c>
      <c r="X24">
        <v>-25</v>
      </c>
      <c r="Y24" t="s">
        <v>46</v>
      </c>
      <c r="Z24">
        <v>465</v>
      </c>
      <c r="AA24">
        <v>372</v>
      </c>
      <c r="AC24">
        <v>11625</v>
      </c>
      <c r="AD24">
        <f>(Table1[[#This Row],[MtM Price]]-Table1[[#This Row],[Price]])*Table1[[#This Row],[Volume]]</f>
        <v>2325</v>
      </c>
      <c r="AE24" t="s">
        <v>33</v>
      </c>
    </row>
    <row r="25" spans="1:31" x14ac:dyDescent="0.3">
      <c r="A25" t="s">
        <v>21</v>
      </c>
      <c r="B25" t="s">
        <v>63</v>
      </c>
      <c r="C25" t="s">
        <v>22</v>
      </c>
      <c r="D25" t="s">
        <v>23</v>
      </c>
      <c r="E25" t="s">
        <v>35</v>
      </c>
      <c r="F25" t="s">
        <v>36</v>
      </c>
      <c r="G25" t="s">
        <v>37</v>
      </c>
      <c r="H25" t="s">
        <v>38</v>
      </c>
      <c r="I25" s="1">
        <v>45571</v>
      </c>
      <c r="J25" s="1"/>
      <c r="K25" t="s">
        <v>201</v>
      </c>
      <c r="L25" t="s">
        <v>28</v>
      </c>
      <c r="M25" t="s">
        <v>29</v>
      </c>
      <c r="N25" t="s">
        <v>30</v>
      </c>
      <c r="O25" t="s">
        <v>31</v>
      </c>
      <c r="P25" t="s">
        <v>176</v>
      </c>
      <c r="Q25">
        <v>0</v>
      </c>
      <c r="R25" t="s">
        <v>216</v>
      </c>
      <c r="S25" t="s">
        <v>230</v>
      </c>
      <c r="T25" t="s">
        <v>144</v>
      </c>
      <c r="U25" t="s">
        <v>238</v>
      </c>
      <c r="V25" t="s">
        <v>242</v>
      </c>
      <c r="W25">
        <v>0</v>
      </c>
      <c r="X25">
        <v>-80000</v>
      </c>
      <c r="Y25" t="s">
        <v>39</v>
      </c>
      <c r="Z25">
        <v>6.84</v>
      </c>
      <c r="AA25">
        <v>6.4979999999999993</v>
      </c>
      <c r="AC25">
        <v>68400</v>
      </c>
      <c r="AD25">
        <f>(Table1[[#This Row],[MtM Price]]-Table1[[#This Row],[Price]])*Table1[[#This Row],[Volume]]</f>
        <v>27360.000000000044</v>
      </c>
      <c r="AE25" t="s">
        <v>33</v>
      </c>
    </row>
    <row r="26" spans="1:31" x14ac:dyDescent="0.3">
      <c r="A26" t="s">
        <v>69</v>
      </c>
      <c r="B26" t="s">
        <v>70</v>
      </c>
      <c r="C26" t="s">
        <v>22</v>
      </c>
      <c r="D26" t="s">
        <v>23</v>
      </c>
      <c r="E26" t="s">
        <v>35</v>
      </c>
      <c r="F26" t="s">
        <v>36</v>
      </c>
      <c r="G26" t="s">
        <v>26</v>
      </c>
      <c r="H26" t="s">
        <v>38</v>
      </c>
      <c r="I26" s="1">
        <v>45300</v>
      </c>
      <c r="J26" s="1">
        <v>45300</v>
      </c>
      <c r="K26" t="s">
        <v>206</v>
      </c>
      <c r="L26" t="s">
        <v>28</v>
      </c>
      <c r="M26" t="s">
        <v>47</v>
      </c>
      <c r="N26" t="s">
        <v>47</v>
      </c>
      <c r="O26" t="s">
        <v>31</v>
      </c>
      <c r="P26" t="s">
        <v>177</v>
      </c>
      <c r="Q26">
        <v>0</v>
      </c>
      <c r="R26" t="s">
        <v>219</v>
      </c>
      <c r="S26" t="s">
        <v>231</v>
      </c>
      <c r="T26" t="s">
        <v>153</v>
      </c>
      <c r="U26" t="s">
        <v>238</v>
      </c>
      <c r="V26" t="s">
        <v>242</v>
      </c>
      <c r="W26">
        <v>100</v>
      </c>
      <c r="X26">
        <v>4464</v>
      </c>
      <c r="Y26" t="s">
        <v>58</v>
      </c>
      <c r="Z26">
        <v>335.77295700000002</v>
      </c>
      <c r="AA26">
        <v>352.56160485000004</v>
      </c>
      <c r="AB26">
        <v>-1498890.48</v>
      </c>
      <c r="AD26">
        <f>(Table1[[#This Row],[MtM Price]]-Table1[[#This Row],[Price]])*Table1[[#This Row],[Volume]]</f>
        <v>74944.524002400081</v>
      </c>
      <c r="AE26" t="s">
        <v>33</v>
      </c>
    </row>
    <row r="27" spans="1:31" x14ac:dyDescent="0.3">
      <c r="A27" t="s">
        <v>69</v>
      </c>
      <c r="B27" t="s">
        <v>71</v>
      </c>
      <c r="C27" t="s">
        <v>22</v>
      </c>
      <c r="D27" t="s">
        <v>23</v>
      </c>
      <c r="E27" t="s">
        <v>35</v>
      </c>
      <c r="F27" t="s">
        <v>36</v>
      </c>
      <c r="G27" t="s">
        <v>37</v>
      </c>
      <c r="H27" t="s">
        <v>38</v>
      </c>
      <c r="I27" s="1">
        <v>45300</v>
      </c>
      <c r="J27" s="1">
        <v>45300</v>
      </c>
      <c r="K27" t="s">
        <v>206</v>
      </c>
      <c r="L27" t="s">
        <v>28</v>
      </c>
      <c r="M27" t="s">
        <v>47</v>
      </c>
      <c r="N27" t="s">
        <v>47</v>
      </c>
      <c r="O27" t="s">
        <v>31</v>
      </c>
      <c r="P27" t="s">
        <v>178</v>
      </c>
      <c r="Q27">
        <v>0</v>
      </c>
      <c r="R27" t="s">
        <v>213</v>
      </c>
      <c r="S27" t="s">
        <v>231</v>
      </c>
      <c r="T27" t="s">
        <v>153</v>
      </c>
      <c r="U27" t="s">
        <v>238</v>
      </c>
      <c r="V27" t="s">
        <v>242</v>
      </c>
      <c r="W27">
        <v>100</v>
      </c>
      <c r="X27">
        <v>-4464</v>
      </c>
      <c r="Y27" t="s">
        <v>58</v>
      </c>
      <c r="Z27">
        <v>335.77295700000002</v>
      </c>
      <c r="AA27">
        <v>318.98430915</v>
      </c>
      <c r="AC27">
        <v>1498890.48</v>
      </c>
      <c r="AD27">
        <f>(Table1[[#This Row],[MtM Price]]-Table1[[#This Row],[Price]])*Table1[[#This Row],[Volume]]</f>
        <v>74944.524002400081</v>
      </c>
      <c r="AE27" t="s">
        <v>33</v>
      </c>
    </row>
    <row r="28" spans="1:31" x14ac:dyDescent="0.3">
      <c r="A28" t="s">
        <v>69</v>
      </c>
      <c r="B28" t="s">
        <v>72</v>
      </c>
      <c r="C28" t="s">
        <v>22</v>
      </c>
      <c r="D28" t="s">
        <v>23</v>
      </c>
      <c r="E28" t="s">
        <v>35</v>
      </c>
      <c r="F28" t="s">
        <v>36</v>
      </c>
      <c r="G28" t="s">
        <v>26</v>
      </c>
      <c r="H28" t="s">
        <v>38</v>
      </c>
      <c r="I28" s="1">
        <v>45300</v>
      </c>
      <c r="J28" s="1">
        <v>45414</v>
      </c>
      <c r="K28" t="s">
        <v>206</v>
      </c>
      <c r="L28" t="s">
        <v>28</v>
      </c>
      <c r="M28" t="s">
        <v>47</v>
      </c>
      <c r="N28" t="s">
        <v>47</v>
      </c>
      <c r="O28" t="s">
        <v>31</v>
      </c>
      <c r="P28" t="s">
        <v>178</v>
      </c>
      <c r="Q28">
        <v>0</v>
      </c>
      <c r="R28" t="s">
        <v>213</v>
      </c>
      <c r="S28" t="s">
        <v>231</v>
      </c>
      <c r="T28" t="s">
        <v>153</v>
      </c>
      <c r="U28" t="s">
        <v>238</v>
      </c>
      <c r="V28" t="s">
        <v>242</v>
      </c>
      <c r="W28">
        <v>100</v>
      </c>
      <c r="X28">
        <v>2400</v>
      </c>
      <c r="Y28" t="s">
        <v>58</v>
      </c>
      <c r="Z28">
        <v>335.77289999999999</v>
      </c>
      <c r="AA28">
        <v>369.35019</v>
      </c>
      <c r="AB28">
        <v>-805854.96</v>
      </c>
      <c r="AD28">
        <f>(Table1[[#This Row],[MtM Price]]-Table1[[#This Row],[Price]])*Table1[[#This Row],[Volume]]</f>
        <v>80585.496000000014</v>
      </c>
      <c r="AE28" t="s">
        <v>33</v>
      </c>
    </row>
    <row r="29" spans="1:31" x14ac:dyDescent="0.3">
      <c r="A29" t="s">
        <v>69</v>
      </c>
      <c r="B29" t="s">
        <v>73</v>
      </c>
      <c r="C29" t="s">
        <v>22</v>
      </c>
      <c r="D29" t="s">
        <v>23</v>
      </c>
      <c r="E29" t="s">
        <v>35</v>
      </c>
      <c r="F29" t="s">
        <v>36</v>
      </c>
      <c r="G29" t="s">
        <v>26</v>
      </c>
      <c r="H29" t="s">
        <v>38</v>
      </c>
      <c r="I29" s="1">
        <v>45300</v>
      </c>
      <c r="J29" s="1">
        <v>45414</v>
      </c>
      <c r="K29" t="s">
        <v>206</v>
      </c>
      <c r="L29" t="s">
        <v>28</v>
      </c>
      <c r="M29" t="s">
        <v>47</v>
      </c>
      <c r="N29" t="s">
        <v>47</v>
      </c>
      <c r="O29" t="s">
        <v>31</v>
      </c>
      <c r="P29" t="s">
        <v>178</v>
      </c>
      <c r="Q29">
        <v>0</v>
      </c>
      <c r="R29" t="s">
        <v>213</v>
      </c>
      <c r="S29" t="s">
        <v>231</v>
      </c>
      <c r="T29" t="s">
        <v>153</v>
      </c>
      <c r="U29" t="s">
        <v>238</v>
      </c>
      <c r="V29" t="s">
        <v>242</v>
      </c>
      <c r="W29">
        <v>100</v>
      </c>
      <c r="X29">
        <v>2064</v>
      </c>
      <c r="Y29" t="s">
        <v>58</v>
      </c>
      <c r="Z29">
        <v>335.77289999999999</v>
      </c>
      <c r="AA29">
        <v>369.35019</v>
      </c>
      <c r="AB29">
        <v>-693035.27</v>
      </c>
      <c r="AD29">
        <f>(Table1[[#This Row],[MtM Price]]-Table1[[#This Row],[Price]])*Table1[[#This Row],[Volume]]</f>
        <v>69303.526560000013</v>
      </c>
      <c r="AE29" t="s">
        <v>33</v>
      </c>
    </row>
    <row r="30" spans="1:31" x14ac:dyDescent="0.3">
      <c r="A30" t="s">
        <v>69</v>
      </c>
      <c r="B30" t="s">
        <v>74</v>
      </c>
      <c r="C30" t="s">
        <v>22</v>
      </c>
      <c r="D30" t="s">
        <v>23</v>
      </c>
      <c r="E30" t="s">
        <v>35</v>
      </c>
      <c r="F30" t="s">
        <v>36</v>
      </c>
      <c r="G30" t="s">
        <v>37</v>
      </c>
      <c r="H30" t="s">
        <v>38</v>
      </c>
      <c r="I30" s="1">
        <v>45307</v>
      </c>
      <c r="J30" s="1">
        <v>45414</v>
      </c>
      <c r="K30" t="s">
        <v>206</v>
      </c>
      <c r="L30" t="s">
        <v>28</v>
      </c>
      <c r="M30" t="s">
        <v>47</v>
      </c>
      <c r="N30" t="s">
        <v>47</v>
      </c>
      <c r="O30" t="s">
        <v>31</v>
      </c>
      <c r="P30" t="s">
        <v>178</v>
      </c>
      <c r="Q30">
        <v>0</v>
      </c>
      <c r="R30" t="s">
        <v>226</v>
      </c>
      <c r="S30" t="s">
        <v>231</v>
      </c>
      <c r="T30" t="s">
        <v>153</v>
      </c>
      <c r="U30" t="s">
        <v>238</v>
      </c>
      <c r="V30" t="s">
        <v>242</v>
      </c>
      <c r="W30">
        <v>100</v>
      </c>
      <c r="X30">
        <v>-2400</v>
      </c>
      <c r="Y30" t="s">
        <v>58</v>
      </c>
      <c r="Z30">
        <v>335.77289999999999</v>
      </c>
      <c r="AA30">
        <v>318.98425499999996</v>
      </c>
      <c r="AC30">
        <v>805854.96</v>
      </c>
      <c r="AD30">
        <f>(Table1[[#This Row],[MtM Price]]-Table1[[#This Row],[Price]])*Table1[[#This Row],[Volume]]</f>
        <v>40292.748000000072</v>
      </c>
      <c r="AE30" t="s">
        <v>33</v>
      </c>
    </row>
    <row r="31" spans="1:31" x14ac:dyDescent="0.3">
      <c r="A31" t="s">
        <v>69</v>
      </c>
      <c r="B31" t="s">
        <v>75</v>
      </c>
      <c r="C31" t="s">
        <v>22</v>
      </c>
      <c r="D31" t="s">
        <v>23</v>
      </c>
      <c r="E31" t="s">
        <v>35</v>
      </c>
      <c r="F31" t="s">
        <v>36</v>
      </c>
      <c r="G31" t="s">
        <v>37</v>
      </c>
      <c r="H31" t="s">
        <v>38</v>
      </c>
      <c r="I31" s="1">
        <v>45314</v>
      </c>
      <c r="J31" s="1">
        <v>45414</v>
      </c>
      <c r="K31" t="s">
        <v>206</v>
      </c>
      <c r="L31" t="s">
        <v>28</v>
      </c>
      <c r="M31" t="s">
        <v>47</v>
      </c>
      <c r="N31" t="s">
        <v>47</v>
      </c>
      <c r="O31" t="s">
        <v>31</v>
      </c>
      <c r="P31" t="s">
        <v>178</v>
      </c>
      <c r="Q31">
        <v>0</v>
      </c>
      <c r="R31" t="s">
        <v>226</v>
      </c>
      <c r="S31" t="s">
        <v>231</v>
      </c>
      <c r="T31" t="s">
        <v>153</v>
      </c>
      <c r="U31" t="s">
        <v>238</v>
      </c>
      <c r="V31" t="s">
        <v>242</v>
      </c>
      <c r="W31">
        <v>100</v>
      </c>
      <c r="X31">
        <v>-2064</v>
      </c>
      <c r="Y31" t="s">
        <v>58</v>
      </c>
      <c r="Z31">
        <v>335.77300000000002</v>
      </c>
      <c r="AA31">
        <v>318.98435000000001</v>
      </c>
      <c r="AC31">
        <v>693035.47</v>
      </c>
      <c r="AD31">
        <f>(Table1[[#This Row],[MtM Price]]-Table1[[#This Row],[Price]])*Table1[[#This Row],[Volume]]</f>
        <v>34651.773600000037</v>
      </c>
      <c r="AE31" t="s">
        <v>33</v>
      </c>
    </row>
    <row r="32" spans="1:31" x14ac:dyDescent="0.3">
      <c r="A32" t="s">
        <v>69</v>
      </c>
      <c r="B32" t="s">
        <v>76</v>
      </c>
      <c r="C32" t="s">
        <v>22</v>
      </c>
      <c r="D32" t="s">
        <v>23</v>
      </c>
      <c r="E32" t="s">
        <v>35</v>
      </c>
      <c r="F32" t="s">
        <v>36</v>
      </c>
      <c r="G32" t="s">
        <v>26</v>
      </c>
      <c r="H32" t="s">
        <v>38</v>
      </c>
      <c r="I32" s="1">
        <v>45461</v>
      </c>
      <c r="J32" s="1">
        <v>45461</v>
      </c>
      <c r="K32" t="s">
        <v>207</v>
      </c>
      <c r="L32" t="s">
        <v>28</v>
      </c>
      <c r="M32" t="s">
        <v>29</v>
      </c>
      <c r="N32" t="s">
        <v>30</v>
      </c>
      <c r="O32" t="s">
        <v>31</v>
      </c>
      <c r="P32" t="s">
        <v>179</v>
      </c>
      <c r="Q32">
        <v>0</v>
      </c>
      <c r="R32" t="s">
        <v>226</v>
      </c>
      <c r="S32" t="s">
        <v>229</v>
      </c>
      <c r="T32" t="s">
        <v>148</v>
      </c>
      <c r="U32" t="s">
        <v>238</v>
      </c>
      <c r="V32" t="s">
        <v>242</v>
      </c>
      <c r="W32">
        <v>100</v>
      </c>
      <c r="X32">
        <v>8000</v>
      </c>
      <c r="Y32" t="s">
        <v>68</v>
      </c>
      <c r="Z32">
        <v>21.5</v>
      </c>
      <c r="AA32">
        <v>23.650000000000002</v>
      </c>
      <c r="AB32">
        <v>-172000</v>
      </c>
      <c r="AD32">
        <f>(Table1[[#This Row],[MtM Price]]-Table1[[#This Row],[Price]])*Table1[[#This Row],[Volume]]</f>
        <v>17200.000000000018</v>
      </c>
      <c r="AE32" t="s">
        <v>33</v>
      </c>
    </row>
    <row r="33" spans="1:31" x14ac:dyDescent="0.3">
      <c r="A33" t="s">
        <v>69</v>
      </c>
      <c r="B33" t="s">
        <v>77</v>
      </c>
      <c r="C33" t="s">
        <v>22</v>
      </c>
      <c r="D33" t="s">
        <v>23</v>
      </c>
      <c r="E33" t="s">
        <v>35</v>
      </c>
      <c r="F33" t="s">
        <v>36</v>
      </c>
      <c r="G33" t="s">
        <v>37</v>
      </c>
      <c r="H33" t="s">
        <v>38</v>
      </c>
      <c r="I33" s="1">
        <v>45461</v>
      </c>
      <c r="J33" s="1">
        <v>45461</v>
      </c>
      <c r="K33" t="s">
        <v>207</v>
      </c>
      <c r="L33" t="s">
        <v>28</v>
      </c>
      <c r="M33" t="s">
        <v>29</v>
      </c>
      <c r="N33" t="s">
        <v>30</v>
      </c>
      <c r="O33" t="s">
        <v>31</v>
      </c>
      <c r="P33" t="s">
        <v>178</v>
      </c>
      <c r="Q33">
        <v>0</v>
      </c>
      <c r="R33" t="s">
        <v>226</v>
      </c>
      <c r="S33" t="s">
        <v>231</v>
      </c>
      <c r="T33" t="s">
        <v>148</v>
      </c>
      <c r="U33" t="s">
        <v>238</v>
      </c>
      <c r="V33" t="s">
        <v>242</v>
      </c>
      <c r="W33">
        <v>100</v>
      </c>
      <c r="X33">
        <v>-8000</v>
      </c>
      <c r="Y33" t="s">
        <v>68</v>
      </c>
      <c r="Z33">
        <v>21.5</v>
      </c>
      <c r="AA33">
        <v>20.425000000000001</v>
      </c>
      <c r="AC33">
        <v>172000</v>
      </c>
      <c r="AD33">
        <f>(Table1[[#This Row],[MtM Price]]-Table1[[#This Row],[Price]])*Table1[[#This Row],[Volume]]</f>
        <v>8599.9999999999945</v>
      </c>
      <c r="AE33" t="s">
        <v>33</v>
      </c>
    </row>
    <row r="34" spans="1:31" x14ac:dyDescent="0.3">
      <c r="A34" t="s">
        <v>69</v>
      </c>
      <c r="B34" t="s">
        <v>78</v>
      </c>
      <c r="C34" t="s">
        <v>22</v>
      </c>
      <c r="D34" t="s">
        <v>23</v>
      </c>
      <c r="E34" t="s">
        <v>35</v>
      </c>
      <c r="F34" t="s">
        <v>36</v>
      </c>
      <c r="G34" t="s">
        <v>26</v>
      </c>
      <c r="H34" t="s">
        <v>38</v>
      </c>
      <c r="I34" s="1">
        <v>45461</v>
      </c>
      <c r="J34" s="1">
        <v>45461</v>
      </c>
      <c r="K34" t="s">
        <v>207</v>
      </c>
      <c r="L34" t="s">
        <v>28</v>
      </c>
      <c r="M34" t="s">
        <v>29</v>
      </c>
      <c r="N34" t="s">
        <v>30</v>
      </c>
      <c r="O34" t="s">
        <v>31</v>
      </c>
      <c r="P34" t="s">
        <v>180</v>
      </c>
      <c r="Q34">
        <v>0</v>
      </c>
      <c r="R34" t="s">
        <v>226</v>
      </c>
      <c r="S34" t="s">
        <v>231</v>
      </c>
      <c r="T34" t="s">
        <v>154</v>
      </c>
      <c r="U34" t="s">
        <v>238</v>
      </c>
      <c r="V34" t="s">
        <v>242</v>
      </c>
      <c r="W34">
        <v>33</v>
      </c>
      <c r="X34">
        <v>90.75</v>
      </c>
      <c r="Y34" t="s">
        <v>68</v>
      </c>
      <c r="Z34">
        <v>26</v>
      </c>
      <c r="AA34">
        <v>28.6</v>
      </c>
      <c r="AB34">
        <v>-778.63499999999999</v>
      </c>
      <c r="AD34">
        <f>(Table1[[#This Row],[MtM Price]]-Table1[[#This Row],[Price]])*Table1[[#This Row],[Volume]]</f>
        <v>235.95000000000013</v>
      </c>
      <c r="AE34" t="s">
        <v>33</v>
      </c>
    </row>
    <row r="35" spans="1:31" x14ac:dyDescent="0.3">
      <c r="A35" t="s">
        <v>69</v>
      </c>
      <c r="B35" t="s">
        <v>78</v>
      </c>
      <c r="C35" t="s">
        <v>22</v>
      </c>
      <c r="D35" t="s">
        <v>23</v>
      </c>
      <c r="E35" t="s">
        <v>35</v>
      </c>
      <c r="F35" t="s">
        <v>36</v>
      </c>
      <c r="G35" t="s">
        <v>26</v>
      </c>
      <c r="H35" t="s">
        <v>38</v>
      </c>
      <c r="I35" s="1">
        <v>45461</v>
      </c>
      <c r="J35" s="1">
        <v>45461</v>
      </c>
      <c r="K35" t="s">
        <v>207</v>
      </c>
      <c r="L35" t="s">
        <v>28</v>
      </c>
      <c r="M35" t="s">
        <v>29</v>
      </c>
      <c r="N35" t="s">
        <v>30</v>
      </c>
      <c r="O35" t="s">
        <v>31</v>
      </c>
      <c r="P35" t="s">
        <v>180</v>
      </c>
      <c r="Q35">
        <v>0</v>
      </c>
      <c r="R35" t="s">
        <v>226</v>
      </c>
      <c r="S35" t="s">
        <v>231</v>
      </c>
      <c r="T35" t="s">
        <v>148</v>
      </c>
      <c r="U35" t="s">
        <v>238</v>
      </c>
      <c r="V35" t="s">
        <v>242</v>
      </c>
      <c r="W35">
        <v>33</v>
      </c>
      <c r="X35">
        <v>90.75</v>
      </c>
      <c r="Y35" t="s">
        <v>68</v>
      </c>
      <c r="Z35">
        <v>26</v>
      </c>
      <c r="AA35">
        <v>28.6</v>
      </c>
      <c r="AB35">
        <v>-778.63499999999999</v>
      </c>
      <c r="AD35">
        <f>(Table1[[#This Row],[MtM Price]]-Table1[[#This Row],[Price]])*Table1[[#This Row],[Volume]]</f>
        <v>235.95000000000013</v>
      </c>
      <c r="AE35" t="s">
        <v>33</v>
      </c>
    </row>
    <row r="36" spans="1:31" x14ac:dyDescent="0.3">
      <c r="A36" t="s">
        <v>69</v>
      </c>
      <c r="B36" t="s">
        <v>78</v>
      </c>
      <c r="C36" t="s">
        <v>22</v>
      </c>
      <c r="D36" t="s">
        <v>23</v>
      </c>
      <c r="E36" t="s">
        <v>35</v>
      </c>
      <c r="F36" t="s">
        <v>36</v>
      </c>
      <c r="G36" t="s">
        <v>26</v>
      </c>
      <c r="H36" t="s">
        <v>38</v>
      </c>
      <c r="I36" s="1">
        <v>45461</v>
      </c>
      <c r="J36" s="1">
        <v>45461</v>
      </c>
      <c r="K36" t="s">
        <v>207</v>
      </c>
      <c r="L36" t="s">
        <v>28</v>
      </c>
      <c r="M36" t="s">
        <v>29</v>
      </c>
      <c r="N36" t="s">
        <v>30</v>
      </c>
      <c r="O36" t="s">
        <v>31</v>
      </c>
      <c r="P36" t="s">
        <v>180</v>
      </c>
      <c r="Q36">
        <v>0</v>
      </c>
      <c r="R36" t="s">
        <v>226</v>
      </c>
      <c r="S36" t="s">
        <v>231</v>
      </c>
      <c r="T36" t="s">
        <v>155</v>
      </c>
      <c r="U36" t="s">
        <v>238</v>
      </c>
      <c r="V36" t="s">
        <v>242</v>
      </c>
      <c r="W36">
        <v>34</v>
      </c>
      <c r="X36">
        <v>93.5</v>
      </c>
      <c r="Y36" t="s">
        <v>68</v>
      </c>
      <c r="Z36">
        <v>26</v>
      </c>
      <c r="AA36">
        <v>28.6</v>
      </c>
      <c r="AB36">
        <v>-826.54</v>
      </c>
      <c r="AD36">
        <f>(Table1[[#This Row],[MtM Price]]-Table1[[#This Row],[Price]])*Table1[[#This Row],[Volume]]</f>
        <v>243.10000000000014</v>
      </c>
      <c r="AE36" t="s">
        <v>33</v>
      </c>
    </row>
    <row r="37" spans="1:31" x14ac:dyDescent="0.3">
      <c r="A37" t="s">
        <v>69</v>
      </c>
      <c r="B37" t="s">
        <v>79</v>
      </c>
      <c r="C37" t="s">
        <v>22</v>
      </c>
      <c r="D37" t="s">
        <v>23</v>
      </c>
      <c r="E37" t="s">
        <v>35</v>
      </c>
      <c r="F37" t="s">
        <v>36</v>
      </c>
      <c r="G37" t="s">
        <v>37</v>
      </c>
      <c r="H37" t="s">
        <v>38</v>
      </c>
      <c r="I37" s="1">
        <v>45461</v>
      </c>
      <c r="J37" s="1">
        <v>45461</v>
      </c>
      <c r="K37" t="s">
        <v>207</v>
      </c>
      <c r="L37" t="s">
        <v>28</v>
      </c>
      <c r="M37" t="s">
        <v>29</v>
      </c>
      <c r="N37" t="s">
        <v>30</v>
      </c>
      <c r="O37" t="s">
        <v>31</v>
      </c>
      <c r="P37" t="s">
        <v>178</v>
      </c>
      <c r="Q37">
        <v>0</v>
      </c>
      <c r="R37" t="s">
        <v>226</v>
      </c>
      <c r="S37" t="s">
        <v>231</v>
      </c>
      <c r="T37" t="s">
        <v>154</v>
      </c>
      <c r="U37" t="s">
        <v>238</v>
      </c>
      <c r="V37" t="s">
        <v>242</v>
      </c>
      <c r="W37">
        <v>33</v>
      </c>
      <c r="X37">
        <v>-90.75</v>
      </c>
      <c r="Y37" t="s">
        <v>68</v>
      </c>
      <c r="Z37">
        <v>26</v>
      </c>
      <c r="AA37">
        <v>24.7</v>
      </c>
      <c r="AC37">
        <v>778.63499999999999</v>
      </c>
      <c r="AD37">
        <f>(Table1[[#This Row],[MtM Price]]-Table1[[#This Row],[Price]])*Table1[[#This Row],[Volume]]</f>
        <v>117.97500000000007</v>
      </c>
      <c r="AE37" t="s">
        <v>33</v>
      </c>
    </row>
    <row r="38" spans="1:31" x14ac:dyDescent="0.3">
      <c r="A38" t="s">
        <v>69</v>
      </c>
      <c r="B38" t="s">
        <v>79</v>
      </c>
      <c r="C38" t="s">
        <v>22</v>
      </c>
      <c r="D38" t="s">
        <v>23</v>
      </c>
      <c r="E38" t="s">
        <v>35</v>
      </c>
      <c r="F38" t="s">
        <v>36</v>
      </c>
      <c r="G38" t="s">
        <v>37</v>
      </c>
      <c r="H38" t="s">
        <v>38</v>
      </c>
      <c r="I38" s="1">
        <v>45461</v>
      </c>
      <c r="J38" s="1">
        <v>45461</v>
      </c>
      <c r="K38" t="s">
        <v>207</v>
      </c>
      <c r="L38" t="s">
        <v>28</v>
      </c>
      <c r="M38" t="s">
        <v>29</v>
      </c>
      <c r="N38" t="s">
        <v>30</v>
      </c>
      <c r="O38" t="s">
        <v>31</v>
      </c>
      <c r="P38" t="s">
        <v>178</v>
      </c>
      <c r="Q38">
        <v>0</v>
      </c>
      <c r="R38" t="s">
        <v>225</v>
      </c>
      <c r="S38" t="s">
        <v>231</v>
      </c>
      <c r="T38" t="s">
        <v>148</v>
      </c>
      <c r="U38" t="s">
        <v>238</v>
      </c>
      <c r="V38" t="s">
        <v>242</v>
      </c>
      <c r="W38">
        <v>33</v>
      </c>
      <c r="X38">
        <v>-90.75</v>
      </c>
      <c r="Y38" t="s">
        <v>68</v>
      </c>
      <c r="Z38">
        <v>26</v>
      </c>
      <c r="AA38">
        <v>24.7</v>
      </c>
      <c r="AC38">
        <v>778.63499999999999</v>
      </c>
      <c r="AD38">
        <f>(Table1[[#This Row],[MtM Price]]-Table1[[#This Row],[Price]])*Table1[[#This Row],[Volume]]</f>
        <v>117.97500000000007</v>
      </c>
      <c r="AE38" t="s">
        <v>33</v>
      </c>
    </row>
    <row r="39" spans="1:31" x14ac:dyDescent="0.3">
      <c r="A39" t="s">
        <v>69</v>
      </c>
      <c r="B39" t="s">
        <v>79</v>
      </c>
      <c r="C39" t="s">
        <v>22</v>
      </c>
      <c r="D39" t="s">
        <v>23</v>
      </c>
      <c r="E39" t="s">
        <v>35</v>
      </c>
      <c r="F39" t="s">
        <v>36</v>
      </c>
      <c r="G39" t="s">
        <v>37</v>
      </c>
      <c r="H39" t="s">
        <v>38</v>
      </c>
      <c r="I39" s="1">
        <v>45461</v>
      </c>
      <c r="J39" s="1">
        <v>45461</v>
      </c>
      <c r="K39" t="s">
        <v>207</v>
      </c>
      <c r="L39" t="s">
        <v>28</v>
      </c>
      <c r="M39" t="s">
        <v>29</v>
      </c>
      <c r="N39" t="s">
        <v>30</v>
      </c>
      <c r="O39" t="s">
        <v>31</v>
      </c>
      <c r="P39" t="s">
        <v>178</v>
      </c>
      <c r="Q39">
        <v>0</v>
      </c>
      <c r="R39" t="s">
        <v>225</v>
      </c>
      <c r="S39" t="s">
        <v>231</v>
      </c>
      <c r="T39" t="s">
        <v>155</v>
      </c>
      <c r="U39" t="s">
        <v>238</v>
      </c>
      <c r="V39" t="s">
        <v>242</v>
      </c>
      <c r="W39">
        <v>34</v>
      </c>
      <c r="X39">
        <v>-93.5</v>
      </c>
      <c r="Y39" t="s">
        <v>68</v>
      </c>
      <c r="Z39">
        <v>26</v>
      </c>
      <c r="AA39">
        <v>24.7</v>
      </c>
      <c r="AC39">
        <v>826.54</v>
      </c>
      <c r="AD39">
        <f>(Table1[[#This Row],[MtM Price]]-Table1[[#This Row],[Price]])*Table1[[#This Row],[Volume]]</f>
        <v>121.55000000000007</v>
      </c>
      <c r="AE39" t="s">
        <v>33</v>
      </c>
    </row>
    <row r="40" spans="1:31" x14ac:dyDescent="0.3">
      <c r="A40" t="s">
        <v>69</v>
      </c>
      <c r="B40" t="s">
        <v>80</v>
      </c>
      <c r="C40" t="s">
        <v>22</v>
      </c>
      <c r="D40" t="s">
        <v>23</v>
      </c>
      <c r="E40" t="s">
        <v>35</v>
      </c>
      <c r="F40" t="s">
        <v>36</v>
      </c>
      <c r="G40" t="s">
        <v>26</v>
      </c>
      <c r="H40" t="s">
        <v>38</v>
      </c>
      <c r="I40" s="1">
        <v>45461</v>
      </c>
      <c r="J40" s="1">
        <v>45512</v>
      </c>
      <c r="K40" t="s">
        <v>207</v>
      </c>
      <c r="L40" t="s">
        <v>28</v>
      </c>
      <c r="M40" t="s">
        <v>29</v>
      </c>
      <c r="N40" t="s">
        <v>30</v>
      </c>
      <c r="O40" t="s">
        <v>31</v>
      </c>
      <c r="P40" t="s">
        <v>178</v>
      </c>
      <c r="Q40">
        <v>0</v>
      </c>
      <c r="R40" t="s">
        <v>214</v>
      </c>
      <c r="S40" t="s">
        <v>231</v>
      </c>
      <c r="T40" t="s">
        <v>153</v>
      </c>
      <c r="U40" t="s">
        <v>238</v>
      </c>
      <c r="V40" t="s">
        <v>242</v>
      </c>
      <c r="W40">
        <v>100</v>
      </c>
      <c r="X40">
        <v>275</v>
      </c>
      <c r="Y40" t="s">
        <v>68</v>
      </c>
      <c r="Z40">
        <v>26</v>
      </c>
      <c r="AA40">
        <v>28.6</v>
      </c>
      <c r="AB40">
        <v>-7150</v>
      </c>
      <c r="AD40">
        <f>(Table1[[#This Row],[MtM Price]]-Table1[[#This Row],[Price]])*Table1[[#This Row],[Volume]]</f>
        <v>715.00000000000034</v>
      </c>
      <c r="AE40" t="s">
        <v>33</v>
      </c>
    </row>
    <row r="41" spans="1:31" x14ac:dyDescent="0.3">
      <c r="A41" t="s">
        <v>69</v>
      </c>
      <c r="B41" t="s">
        <v>81</v>
      </c>
      <c r="C41" t="s">
        <v>22</v>
      </c>
      <c r="D41" t="s">
        <v>23</v>
      </c>
      <c r="E41" t="s">
        <v>35</v>
      </c>
      <c r="F41" t="s">
        <v>36</v>
      </c>
      <c r="G41" t="s">
        <v>26</v>
      </c>
      <c r="H41" t="s">
        <v>38</v>
      </c>
      <c r="I41" s="1">
        <v>45461</v>
      </c>
      <c r="J41" s="1">
        <v>45485</v>
      </c>
      <c r="K41" t="s">
        <v>207</v>
      </c>
      <c r="L41" t="s">
        <v>28</v>
      </c>
      <c r="M41" t="s">
        <v>29</v>
      </c>
      <c r="N41" t="s">
        <v>30</v>
      </c>
      <c r="O41" t="s">
        <v>31</v>
      </c>
      <c r="P41" t="s">
        <v>178</v>
      </c>
      <c r="Q41">
        <v>0</v>
      </c>
      <c r="R41" t="s">
        <v>225</v>
      </c>
      <c r="S41" t="s">
        <v>231</v>
      </c>
      <c r="T41" t="s">
        <v>153</v>
      </c>
      <c r="U41" t="s">
        <v>238</v>
      </c>
      <c r="V41" t="s">
        <v>242</v>
      </c>
      <c r="W41">
        <v>100</v>
      </c>
      <c r="X41">
        <v>5000</v>
      </c>
      <c r="Y41" t="s">
        <v>68</v>
      </c>
      <c r="Z41">
        <v>21.5</v>
      </c>
      <c r="AA41">
        <v>23.650000000000002</v>
      </c>
      <c r="AB41">
        <v>-107500</v>
      </c>
      <c r="AD41">
        <f>(Table1[[#This Row],[MtM Price]]-Table1[[#This Row],[Price]])*Table1[[#This Row],[Volume]]</f>
        <v>10750.000000000011</v>
      </c>
      <c r="AE41" t="s">
        <v>33</v>
      </c>
    </row>
    <row r="42" spans="1:31" x14ac:dyDescent="0.3">
      <c r="A42" t="s">
        <v>69</v>
      </c>
      <c r="B42" t="s">
        <v>82</v>
      </c>
      <c r="C42" t="s">
        <v>22</v>
      </c>
      <c r="D42" t="s">
        <v>23</v>
      </c>
      <c r="E42" t="s">
        <v>35</v>
      </c>
      <c r="F42" t="s">
        <v>36</v>
      </c>
      <c r="G42" t="s">
        <v>26</v>
      </c>
      <c r="H42" t="s">
        <v>38</v>
      </c>
      <c r="I42" s="1">
        <v>45461</v>
      </c>
      <c r="J42" s="1">
        <v>45485</v>
      </c>
      <c r="K42" t="s">
        <v>207</v>
      </c>
      <c r="L42" t="s">
        <v>28</v>
      </c>
      <c r="M42" t="s">
        <v>29</v>
      </c>
      <c r="N42" t="s">
        <v>30</v>
      </c>
      <c r="O42" t="s">
        <v>31</v>
      </c>
      <c r="P42" t="s">
        <v>178</v>
      </c>
      <c r="Q42">
        <v>0</v>
      </c>
      <c r="R42" t="s">
        <v>214</v>
      </c>
      <c r="S42" t="s">
        <v>231</v>
      </c>
      <c r="T42" t="s">
        <v>153</v>
      </c>
      <c r="U42" t="s">
        <v>238</v>
      </c>
      <c r="V42" t="s">
        <v>242</v>
      </c>
      <c r="W42">
        <v>100</v>
      </c>
      <c r="X42">
        <v>250</v>
      </c>
      <c r="Y42" t="s">
        <v>68</v>
      </c>
      <c r="Z42">
        <v>21.5</v>
      </c>
      <c r="AA42">
        <v>23.650000000000002</v>
      </c>
      <c r="AB42">
        <v>-5375</v>
      </c>
      <c r="AD42">
        <f>(Table1[[#This Row],[MtM Price]]-Table1[[#This Row],[Price]])*Table1[[#This Row],[Volume]]</f>
        <v>537.50000000000057</v>
      </c>
      <c r="AE42" t="s">
        <v>33</v>
      </c>
    </row>
    <row r="43" spans="1:31" x14ac:dyDescent="0.3">
      <c r="A43" t="s">
        <v>69</v>
      </c>
      <c r="B43" t="s">
        <v>83</v>
      </c>
      <c r="C43" t="s">
        <v>22</v>
      </c>
      <c r="D43" t="s">
        <v>23</v>
      </c>
      <c r="E43" t="s">
        <v>35</v>
      </c>
      <c r="F43" t="s">
        <v>36</v>
      </c>
      <c r="G43" t="s">
        <v>26</v>
      </c>
      <c r="H43" t="s">
        <v>38</v>
      </c>
      <c r="I43" s="1">
        <v>45461</v>
      </c>
      <c r="J43" s="1">
        <v>45485</v>
      </c>
      <c r="K43" t="s">
        <v>207</v>
      </c>
      <c r="L43" t="s">
        <v>28</v>
      </c>
      <c r="M43" t="s">
        <v>29</v>
      </c>
      <c r="N43" t="s">
        <v>30</v>
      </c>
      <c r="O43" t="s">
        <v>31</v>
      </c>
      <c r="P43" t="s">
        <v>178</v>
      </c>
      <c r="Q43">
        <v>0</v>
      </c>
      <c r="R43" t="s">
        <v>225</v>
      </c>
      <c r="S43" t="s">
        <v>231</v>
      </c>
      <c r="T43" t="s">
        <v>153</v>
      </c>
      <c r="U43" t="s">
        <v>238</v>
      </c>
      <c r="V43" t="s">
        <v>242</v>
      </c>
      <c r="W43">
        <v>100</v>
      </c>
      <c r="X43">
        <v>1000</v>
      </c>
      <c r="Y43" t="s">
        <v>68</v>
      </c>
      <c r="Z43">
        <v>21.5</v>
      </c>
      <c r="AA43">
        <v>23.650000000000002</v>
      </c>
      <c r="AB43">
        <v>-21500</v>
      </c>
      <c r="AD43">
        <f>(Table1[[#This Row],[MtM Price]]-Table1[[#This Row],[Price]])*Table1[[#This Row],[Volume]]</f>
        <v>2150.0000000000023</v>
      </c>
      <c r="AE43" t="s">
        <v>33</v>
      </c>
    </row>
    <row r="44" spans="1:31" x14ac:dyDescent="0.3">
      <c r="A44" t="s">
        <v>69</v>
      </c>
      <c r="B44" t="s">
        <v>84</v>
      </c>
      <c r="C44" t="s">
        <v>22</v>
      </c>
      <c r="D44" t="s">
        <v>23</v>
      </c>
      <c r="E44" t="s">
        <v>35</v>
      </c>
      <c r="F44" t="s">
        <v>36</v>
      </c>
      <c r="G44" t="s">
        <v>26</v>
      </c>
      <c r="H44" t="s">
        <v>38</v>
      </c>
      <c r="I44" s="1">
        <v>45461</v>
      </c>
      <c r="J44" s="1">
        <v>45485</v>
      </c>
      <c r="K44" t="s">
        <v>207</v>
      </c>
      <c r="L44" t="s">
        <v>28</v>
      </c>
      <c r="M44" t="s">
        <v>29</v>
      </c>
      <c r="N44" t="s">
        <v>30</v>
      </c>
      <c r="O44" t="s">
        <v>31</v>
      </c>
      <c r="P44" t="s">
        <v>178</v>
      </c>
      <c r="Q44">
        <v>0</v>
      </c>
      <c r="R44" t="s">
        <v>214</v>
      </c>
      <c r="S44" t="s">
        <v>231</v>
      </c>
      <c r="T44" t="s">
        <v>153</v>
      </c>
      <c r="U44" t="s">
        <v>238</v>
      </c>
      <c r="V44" t="s">
        <v>242</v>
      </c>
      <c r="W44">
        <v>100</v>
      </c>
      <c r="X44">
        <v>1750</v>
      </c>
      <c r="Y44" t="s">
        <v>68</v>
      </c>
      <c r="Z44">
        <v>21.5</v>
      </c>
      <c r="AA44">
        <v>23.650000000000002</v>
      </c>
      <c r="AB44">
        <v>-37625</v>
      </c>
      <c r="AD44">
        <f>(Table1[[#This Row],[MtM Price]]-Table1[[#This Row],[Price]])*Table1[[#This Row],[Volume]]</f>
        <v>3762.5000000000036</v>
      </c>
      <c r="AE44" t="s">
        <v>33</v>
      </c>
    </row>
    <row r="45" spans="1:31" x14ac:dyDescent="0.3">
      <c r="A45" t="s">
        <v>69</v>
      </c>
      <c r="B45" t="s">
        <v>85</v>
      </c>
      <c r="C45" t="s">
        <v>22</v>
      </c>
      <c r="D45" t="s">
        <v>23</v>
      </c>
      <c r="E45" t="s">
        <v>35</v>
      </c>
      <c r="F45" t="s">
        <v>36</v>
      </c>
      <c r="G45" t="s">
        <v>37</v>
      </c>
      <c r="H45" t="s">
        <v>38</v>
      </c>
      <c r="I45" s="1">
        <v>45463</v>
      </c>
      <c r="J45" s="1">
        <v>45485</v>
      </c>
      <c r="K45" t="s">
        <v>207</v>
      </c>
      <c r="L45" t="s">
        <v>28</v>
      </c>
      <c r="M45" t="s">
        <v>29</v>
      </c>
      <c r="N45" t="s">
        <v>30</v>
      </c>
      <c r="O45" t="s">
        <v>31</v>
      </c>
      <c r="P45" t="s">
        <v>178</v>
      </c>
      <c r="Q45">
        <v>0</v>
      </c>
      <c r="R45" t="s">
        <v>225</v>
      </c>
      <c r="S45" t="s">
        <v>231</v>
      </c>
      <c r="T45" t="s">
        <v>153</v>
      </c>
      <c r="U45" t="s">
        <v>238</v>
      </c>
      <c r="V45" t="s">
        <v>242</v>
      </c>
      <c r="W45">
        <v>100</v>
      </c>
      <c r="X45">
        <v>-5000</v>
      </c>
      <c r="Y45" t="s">
        <v>68</v>
      </c>
      <c r="Z45">
        <v>21.5</v>
      </c>
      <c r="AA45">
        <v>22.574999999999999</v>
      </c>
      <c r="AC45">
        <v>107500</v>
      </c>
      <c r="AD45">
        <f>(Table1[[#This Row],[MtM Price]]-Table1[[#This Row],[Price]])*Table1[[#This Row],[Volume]]</f>
        <v>-5374.9999999999964</v>
      </c>
      <c r="AE45" t="s">
        <v>33</v>
      </c>
    </row>
    <row r="46" spans="1:31" x14ac:dyDescent="0.3">
      <c r="A46" t="s">
        <v>69</v>
      </c>
      <c r="B46" t="s">
        <v>86</v>
      </c>
      <c r="C46" t="s">
        <v>22</v>
      </c>
      <c r="D46" t="s">
        <v>23</v>
      </c>
      <c r="E46" t="s">
        <v>35</v>
      </c>
      <c r="F46" t="s">
        <v>36</v>
      </c>
      <c r="G46" t="s">
        <v>37</v>
      </c>
      <c r="H46" t="s">
        <v>38</v>
      </c>
      <c r="I46" s="1">
        <v>45465</v>
      </c>
      <c r="J46" s="1">
        <v>45485</v>
      </c>
      <c r="K46" t="s">
        <v>207</v>
      </c>
      <c r="L46" t="s">
        <v>28</v>
      </c>
      <c r="M46" t="s">
        <v>29</v>
      </c>
      <c r="N46" t="s">
        <v>30</v>
      </c>
      <c r="O46" t="s">
        <v>31</v>
      </c>
      <c r="P46" t="s">
        <v>178</v>
      </c>
      <c r="Q46">
        <v>0</v>
      </c>
      <c r="R46" t="s">
        <v>214</v>
      </c>
      <c r="S46" t="s">
        <v>231</v>
      </c>
      <c r="T46" t="s">
        <v>153</v>
      </c>
      <c r="U46" t="s">
        <v>238</v>
      </c>
      <c r="V46" t="s">
        <v>242</v>
      </c>
      <c r="W46">
        <v>100</v>
      </c>
      <c r="X46">
        <v>-250</v>
      </c>
      <c r="Y46" t="s">
        <v>68</v>
      </c>
      <c r="Z46">
        <v>21.5</v>
      </c>
      <c r="AA46">
        <v>22.574999999999999</v>
      </c>
      <c r="AC46">
        <v>5375</v>
      </c>
      <c r="AD46">
        <f>(Table1[[#This Row],[MtM Price]]-Table1[[#This Row],[Price]])*Table1[[#This Row],[Volume]]</f>
        <v>-268.74999999999983</v>
      </c>
      <c r="AE46" t="s">
        <v>33</v>
      </c>
    </row>
    <row r="47" spans="1:31" x14ac:dyDescent="0.3">
      <c r="A47" t="s">
        <v>88</v>
      </c>
      <c r="B47" t="s">
        <v>89</v>
      </c>
      <c r="C47" t="s">
        <v>22</v>
      </c>
      <c r="D47" t="s">
        <v>23</v>
      </c>
      <c r="E47" t="s">
        <v>42</v>
      </c>
      <c r="F47" t="s">
        <v>66</v>
      </c>
      <c r="G47" t="s">
        <v>26</v>
      </c>
      <c r="H47" t="s">
        <v>38</v>
      </c>
      <c r="I47" s="1">
        <v>45371</v>
      </c>
      <c r="J47" s="1">
        <v>45371</v>
      </c>
      <c r="K47" t="s">
        <v>208</v>
      </c>
      <c r="L47" t="s">
        <v>28</v>
      </c>
      <c r="M47" t="s">
        <v>29</v>
      </c>
      <c r="N47" t="s">
        <v>57</v>
      </c>
      <c r="O47" t="s">
        <v>31</v>
      </c>
      <c r="P47" t="s">
        <v>182</v>
      </c>
      <c r="Q47">
        <v>0</v>
      </c>
      <c r="R47" t="s">
        <v>214</v>
      </c>
      <c r="S47" t="s">
        <v>229</v>
      </c>
      <c r="T47" t="s">
        <v>157</v>
      </c>
      <c r="U47" t="s">
        <v>238</v>
      </c>
      <c r="V47" t="s">
        <v>241</v>
      </c>
      <c r="W47">
        <v>100</v>
      </c>
      <c r="X47">
        <v>1000000</v>
      </c>
      <c r="Y47" t="s">
        <v>55</v>
      </c>
      <c r="Z47">
        <v>0.32478600000000002</v>
      </c>
      <c r="AA47">
        <v>0.38974320000000001</v>
      </c>
      <c r="AB47">
        <v>-324786</v>
      </c>
      <c r="AD47">
        <f>(Table1[[#This Row],[MtM Price]]-Table1[[#This Row],[Price]])*Table1[[#This Row],[Volume]]</f>
        <v>64957.19999999999</v>
      </c>
      <c r="AE47" t="s">
        <v>33</v>
      </c>
    </row>
    <row r="48" spans="1:31" x14ac:dyDescent="0.3">
      <c r="A48" t="s">
        <v>88</v>
      </c>
      <c r="B48" t="s">
        <v>90</v>
      </c>
      <c r="C48" t="s">
        <v>22</v>
      </c>
      <c r="D48" t="s">
        <v>23</v>
      </c>
      <c r="E48" t="s">
        <v>42</v>
      </c>
      <c r="F48" t="s">
        <v>67</v>
      </c>
      <c r="G48" t="s">
        <v>37</v>
      </c>
      <c r="H48" t="s">
        <v>38</v>
      </c>
      <c r="I48" s="1">
        <v>45371</v>
      </c>
      <c r="J48" s="1">
        <v>45371</v>
      </c>
      <c r="K48" t="s">
        <v>208</v>
      </c>
      <c r="L48" t="s">
        <v>28</v>
      </c>
      <c r="M48" t="s">
        <v>29</v>
      </c>
      <c r="N48" t="s">
        <v>57</v>
      </c>
      <c r="O48" t="s">
        <v>31</v>
      </c>
      <c r="P48" t="s">
        <v>183</v>
      </c>
      <c r="Q48">
        <v>0</v>
      </c>
      <c r="R48" t="s">
        <v>224</v>
      </c>
      <c r="S48" t="s">
        <v>232</v>
      </c>
      <c r="T48" t="s">
        <v>157</v>
      </c>
      <c r="U48" t="s">
        <v>238</v>
      </c>
      <c r="V48" t="s">
        <v>241</v>
      </c>
      <c r="W48">
        <v>100</v>
      </c>
      <c r="X48">
        <v>-1000000</v>
      </c>
      <c r="Y48" t="s">
        <v>55</v>
      </c>
      <c r="Z48">
        <v>0.32478600000000002</v>
      </c>
      <c r="AA48">
        <v>0.34102530000000003</v>
      </c>
      <c r="AC48">
        <v>324786</v>
      </c>
      <c r="AD48">
        <f>(Table1[[#This Row],[MtM Price]]-Table1[[#This Row],[Price]])*Table1[[#This Row],[Volume]]</f>
        <v>-16239.300000000012</v>
      </c>
      <c r="AE48" t="s">
        <v>33</v>
      </c>
    </row>
    <row r="49" spans="1:31" x14ac:dyDescent="0.3">
      <c r="A49" t="s">
        <v>88</v>
      </c>
      <c r="B49" t="s">
        <v>91</v>
      </c>
      <c r="C49" t="s">
        <v>22</v>
      </c>
      <c r="D49" t="s">
        <v>23</v>
      </c>
      <c r="E49" t="s">
        <v>42</v>
      </c>
      <c r="F49" t="s">
        <v>66</v>
      </c>
      <c r="G49" t="s">
        <v>26</v>
      </c>
      <c r="H49" t="s">
        <v>38</v>
      </c>
      <c r="I49" s="1">
        <v>45392</v>
      </c>
      <c r="J49" s="1">
        <v>45392</v>
      </c>
      <c r="K49" t="s">
        <v>208</v>
      </c>
      <c r="L49" t="s">
        <v>28</v>
      </c>
      <c r="M49" t="s">
        <v>29</v>
      </c>
      <c r="N49" t="s">
        <v>57</v>
      </c>
      <c r="O49" t="s">
        <v>31</v>
      </c>
      <c r="P49" t="s">
        <v>184</v>
      </c>
      <c r="Q49">
        <v>1</v>
      </c>
      <c r="R49" t="s">
        <v>223</v>
      </c>
      <c r="S49" t="s">
        <v>232</v>
      </c>
      <c r="T49" t="s">
        <v>158</v>
      </c>
      <c r="U49" t="s">
        <v>238</v>
      </c>
      <c r="V49" t="s">
        <v>241</v>
      </c>
      <c r="W49">
        <v>100</v>
      </c>
      <c r="X49">
        <v>122028</v>
      </c>
      <c r="Y49" t="s">
        <v>55</v>
      </c>
      <c r="Z49">
        <v>0.29914499999999999</v>
      </c>
      <c r="AA49">
        <v>0.31410225000000003</v>
      </c>
      <c r="AB49">
        <v>-36504.066059999997</v>
      </c>
      <c r="AD49">
        <f>(Table1[[#This Row],[MtM Price]]-Table1[[#This Row],[Price]])*Table1[[#This Row],[Volume]]</f>
        <v>1825.2033030000041</v>
      </c>
      <c r="AE49" t="s">
        <v>33</v>
      </c>
    </row>
    <row r="50" spans="1:31" x14ac:dyDescent="0.3">
      <c r="A50" t="s">
        <v>88</v>
      </c>
      <c r="B50" t="s">
        <v>92</v>
      </c>
      <c r="C50" t="s">
        <v>22</v>
      </c>
      <c r="D50" t="s">
        <v>23</v>
      </c>
      <c r="E50" t="s">
        <v>42</v>
      </c>
      <c r="F50" t="s">
        <v>67</v>
      </c>
      <c r="G50" t="s">
        <v>37</v>
      </c>
      <c r="H50" t="s">
        <v>38</v>
      </c>
      <c r="I50" s="1">
        <v>45392</v>
      </c>
      <c r="J50" s="1">
        <v>45392</v>
      </c>
      <c r="K50" t="s">
        <v>208</v>
      </c>
      <c r="L50" t="s">
        <v>28</v>
      </c>
      <c r="M50" t="s">
        <v>29</v>
      </c>
      <c r="N50" t="s">
        <v>57</v>
      </c>
      <c r="O50" t="s">
        <v>31</v>
      </c>
      <c r="P50" t="s">
        <v>183</v>
      </c>
      <c r="Q50">
        <v>0</v>
      </c>
      <c r="R50" t="s">
        <v>219</v>
      </c>
      <c r="S50" t="s">
        <v>232</v>
      </c>
      <c r="T50" t="s">
        <v>158</v>
      </c>
      <c r="U50" t="s">
        <v>238</v>
      </c>
      <c r="V50" t="s">
        <v>241</v>
      </c>
      <c r="W50">
        <v>100</v>
      </c>
      <c r="X50">
        <v>-122028</v>
      </c>
      <c r="Y50" t="s">
        <v>55</v>
      </c>
      <c r="Z50">
        <v>0.29914499999999999</v>
      </c>
      <c r="AA50">
        <v>0.22435875</v>
      </c>
      <c r="AC50">
        <v>36504.066059999997</v>
      </c>
      <c r="AD50">
        <f>(Table1[[#This Row],[MtM Price]]-Table1[[#This Row],[Price]])*Table1[[#This Row],[Volume]]</f>
        <v>9126.0165149999993</v>
      </c>
      <c r="AE50" t="s">
        <v>33</v>
      </c>
    </row>
    <row r="51" spans="1:31" x14ac:dyDescent="0.3">
      <c r="A51" t="s">
        <v>88</v>
      </c>
      <c r="B51" t="s">
        <v>93</v>
      </c>
      <c r="C51" t="s">
        <v>22</v>
      </c>
      <c r="D51" t="s">
        <v>23</v>
      </c>
      <c r="E51" t="s">
        <v>42</v>
      </c>
      <c r="F51" t="s">
        <v>36</v>
      </c>
      <c r="G51" t="s">
        <v>26</v>
      </c>
      <c r="H51" t="s">
        <v>38</v>
      </c>
      <c r="I51" s="1">
        <v>45326</v>
      </c>
      <c r="J51" s="1">
        <v>45326</v>
      </c>
      <c r="K51" t="s">
        <v>208</v>
      </c>
      <c r="L51" t="s">
        <v>28</v>
      </c>
      <c r="M51" t="s">
        <v>29</v>
      </c>
      <c r="N51" t="s">
        <v>57</v>
      </c>
      <c r="O51" t="s">
        <v>31</v>
      </c>
      <c r="P51" t="s">
        <v>185</v>
      </c>
      <c r="Q51">
        <v>0</v>
      </c>
      <c r="R51" t="s">
        <v>224</v>
      </c>
      <c r="S51" t="s">
        <v>229</v>
      </c>
      <c r="T51" t="s">
        <v>157</v>
      </c>
      <c r="U51" t="s">
        <v>238</v>
      </c>
      <c r="V51" t="s">
        <v>241</v>
      </c>
      <c r="W51">
        <v>100</v>
      </c>
      <c r="X51">
        <v>1000000</v>
      </c>
      <c r="Y51" t="s">
        <v>55</v>
      </c>
      <c r="Z51">
        <v>0.478632</v>
      </c>
      <c r="AA51">
        <v>0.57435839999999994</v>
      </c>
      <c r="AB51">
        <v>-478632</v>
      </c>
      <c r="AD51">
        <f>(Table1[[#This Row],[MtM Price]]-Table1[[#This Row],[Price]])*Table1[[#This Row],[Volume]]</f>
        <v>95726.399999999936</v>
      </c>
      <c r="AE51" t="s">
        <v>33</v>
      </c>
    </row>
    <row r="52" spans="1:31" x14ac:dyDescent="0.3">
      <c r="A52" t="s">
        <v>88</v>
      </c>
      <c r="B52" t="s">
        <v>94</v>
      </c>
      <c r="C52" t="s">
        <v>22</v>
      </c>
      <c r="D52" t="s">
        <v>23</v>
      </c>
      <c r="E52" t="s">
        <v>42</v>
      </c>
      <c r="F52" t="s">
        <v>67</v>
      </c>
      <c r="G52" t="s">
        <v>37</v>
      </c>
      <c r="H52" t="s">
        <v>38</v>
      </c>
      <c r="I52" s="1">
        <v>45326</v>
      </c>
      <c r="J52" s="1">
        <v>45326</v>
      </c>
      <c r="K52" t="s">
        <v>208</v>
      </c>
      <c r="L52" t="s">
        <v>28</v>
      </c>
      <c r="M52" t="s">
        <v>29</v>
      </c>
      <c r="N52" t="s">
        <v>57</v>
      </c>
      <c r="O52" t="s">
        <v>31</v>
      </c>
      <c r="P52" t="s">
        <v>183</v>
      </c>
      <c r="Q52">
        <v>0</v>
      </c>
      <c r="R52" t="s">
        <v>224</v>
      </c>
      <c r="S52" t="s">
        <v>232</v>
      </c>
      <c r="T52" t="s">
        <v>157</v>
      </c>
      <c r="U52" t="s">
        <v>238</v>
      </c>
      <c r="V52" t="s">
        <v>241</v>
      </c>
      <c r="W52">
        <v>100</v>
      </c>
      <c r="X52">
        <v>-1000000</v>
      </c>
      <c r="Y52" t="s">
        <v>55</v>
      </c>
      <c r="Z52">
        <v>0.478632</v>
      </c>
      <c r="AA52">
        <v>0.5025636</v>
      </c>
      <c r="AC52">
        <v>478632</v>
      </c>
      <c r="AD52">
        <f>(Table1[[#This Row],[MtM Price]]-Table1[[#This Row],[Price]])*Table1[[#This Row],[Volume]]</f>
        <v>-23931.599999999999</v>
      </c>
      <c r="AE52" t="s">
        <v>33</v>
      </c>
    </row>
    <row r="53" spans="1:31" x14ac:dyDescent="0.3">
      <c r="A53" t="s">
        <v>88</v>
      </c>
      <c r="B53" t="s">
        <v>95</v>
      </c>
      <c r="C53" t="s">
        <v>22</v>
      </c>
      <c r="D53" t="s">
        <v>23</v>
      </c>
      <c r="E53" t="s">
        <v>42</v>
      </c>
      <c r="F53" t="s">
        <v>36</v>
      </c>
      <c r="G53" t="s">
        <v>26</v>
      </c>
      <c r="H53" t="s">
        <v>38</v>
      </c>
      <c r="I53" s="1">
        <v>45397</v>
      </c>
      <c r="J53" s="1">
        <v>45397</v>
      </c>
      <c r="K53" t="s">
        <v>208</v>
      </c>
      <c r="L53" t="s">
        <v>28</v>
      </c>
      <c r="M53" t="s">
        <v>29</v>
      </c>
      <c r="N53" t="s">
        <v>57</v>
      </c>
      <c r="O53" t="s">
        <v>31</v>
      </c>
      <c r="P53" t="s">
        <v>186</v>
      </c>
      <c r="Q53">
        <v>0</v>
      </c>
      <c r="R53" t="s">
        <v>223</v>
      </c>
      <c r="S53" t="s">
        <v>233</v>
      </c>
      <c r="T53" t="s">
        <v>158</v>
      </c>
      <c r="U53" t="s">
        <v>238</v>
      </c>
      <c r="V53" t="s">
        <v>241</v>
      </c>
      <c r="W53">
        <v>100</v>
      </c>
      <c r="X53">
        <v>252000</v>
      </c>
      <c r="Y53" t="s">
        <v>55</v>
      </c>
      <c r="Z53">
        <v>0.30982900000000002</v>
      </c>
      <c r="AA53">
        <v>0.32532045000000004</v>
      </c>
      <c r="AB53">
        <v>-78076.845000000001</v>
      </c>
      <c r="AD53">
        <f>(Table1[[#This Row],[MtM Price]]-Table1[[#This Row],[Price]])*Table1[[#This Row],[Volume]]</f>
        <v>3903.8454000000042</v>
      </c>
      <c r="AE53" t="s">
        <v>33</v>
      </c>
    </row>
    <row r="54" spans="1:31" x14ac:dyDescent="0.3">
      <c r="A54" t="s">
        <v>88</v>
      </c>
      <c r="B54" t="s">
        <v>96</v>
      </c>
      <c r="C54" t="s">
        <v>22</v>
      </c>
      <c r="D54" t="s">
        <v>23</v>
      </c>
      <c r="E54" t="s">
        <v>42</v>
      </c>
      <c r="F54" t="s">
        <v>67</v>
      </c>
      <c r="G54" t="s">
        <v>37</v>
      </c>
      <c r="H54" t="s">
        <v>38</v>
      </c>
      <c r="I54" s="1">
        <v>45397</v>
      </c>
      <c r="J54" s="1">
        <v>45397</v>
      </c>
      <c r="K54" t="s">
        <v>208</v>
      </c>
      <c r="L54" t="s">
        <v>28</v>
      </c>
      <c r="M54" t="s">
        <v>29</v>
      </c>
      <c r="N54" t="s">
        <v>57</v>
      </c>
      <c r="O54" t="s">
        <v>31</v>
      </c>
      <c r="P54" t="s">
        <v>183</v>
      </c>
      <c r="Q54">
        <v>0</v>
      </c>
      <c r="R54" t="s">
        <v>220</v>
      </c>
      <c r="S54" t="s">
        <v>232</v>
      </c>
      <c r="T54" t="s">
        <v>158</v>
      </c>
      <c r="U54" t="s">
        <v>238</v>
      </c>
      <c r="V54" t="s">
        <v>241</v>
      </c>
      <c r="W54">
        <v>100</v>
      </c>
      <c r="X54">
        <v>-252000</v>
      </c>
      <c r="Y54" t="s">
        <v>55</v>
      </c>
      <c r="Z54">
        <v>0.30982900000000002</v>
      </c>
      <c r="AA54">
        <v>0.23237175000000002</v>
      </c>
      <c r="AC54">
        <v>78076.845000000001</v>
      </c>
      <c r="AD54">
        <f>(Table1[[#This Row],[MtM Price]]-Table1[[#This Row],[Price]])*Table1[[#This Row],[Volume]]</f>
        <v>19519.227000000003</v>
      </c>
      <c r="AE54" t="s">
        <v>33</v>
      </c>
    </row>
    <row r="55" spans="1:31" x14ac:dyDescent="0.3">
      <c r="A55" t="s">
        <v>97</v>
      </c>
      <c r="B55" t="s">
        <v>98</v>
      </c>
      <c r="C55" t="s">
        <v>22</v>
      </c>
      <c r="D55" t="s">
        <v>23</v>
      </c>
      <c r="E55" t="s">
        <v>35</v>
      </c>
      <c r="F55" t="s">
        <v>36</v>
      </c>
      <c r="G55" t="s">
        <v>26</v>
      </c>
      <c r="H55" t="s">
        <v>38</v>
      </c>
      <c r="I55" s="1">
        <v>45298</v>
      </c>
      <c r="J55" s="1">
        <v>45298</v>
      </c>
      <c r="K55" t="s">
        <v>209</v>
      </c>
      <c r="L55" t="s">
        <v>28</v>
      </c>
      <c r="M55" t="s">
        <v>64</v>
      </c>
      <c r="N55" t="s">
        <v>64</v>
      </c>
      <c r="O55" t="s">
        <v>31</v>
      </c>
      <c r="P55" t="s">
        <v>187</v>
      </c>
      <c r="Q55">
        <v>0</v>
      </c>
      <c r="R55" t="s">
        <v>224</v>
      </c>
      <c r="S55" t="s">
        <v>233</v>
      </c>
      <c r="T55" t="s">
        <v>159</v>
      </c>
      <c r="U55" t="s">
        <v>238</v>
      </c>
      <c r="V55" t="s">
        <v>241</v>
      </c>
      <c r="W55">
        <v>100</v>
      </c>
      <c r="X55">
        <v>2</v>
      </c>
      <c r="Y55" t="s">
        <v>58</v>
      </c>
      <c r="Z55">
        <v>0.29914499999999999</v>
      </c>
      <c r="AA55">
        <v>0.35897399999999996</v>
      </c>
      <c r="AB55">
        <v>-0.59828999999999999</v>
      </c>
      <c r="AD55">
        <f>(Table1[[#This Row],[MtM Price]]-Table1[[#This Row],[Price]])*Table1[[#This Row],[Volume]]</f>
        <v>0.11965799999999993</v>
      </c>
      <c r="AE55" t="s">
        <v>33</v>
      </c>
    </row>
    <row r="56" spans="1:31" x14ac:dyDescent="0.3">
      <c r="A56" t="s">
        <v>97</v>
      </c>
      <c r="B56" t="s">
        <v>99</v>
      </c>
      <c r="C56" t="s">
        <v>22</v>
      </c>
      <c r="D56" t="s">
        <v>23</v>
      </c>
      <c r="E56" t="s">
        <v>35</v>
      </c>
      <c r="F56" t="s">
        <v>67</v>
      </c>
      <c r="G56" t="s">
        <v>37</v>
      </c>
      <c r="H56" t="s">
        <v>38</v>
      </c>
      <c r="I56" s="1">
        <v>45298</v>
      </c>
      <c r="J56" s="1">
        <v>45298</v>
      </c>
      <c r="K56" t="s">
        <v>209</v>
      </c>
      <c r="L56" t="s">
        <v>28</v>
      </c>
      <c r="M56" t="s">
        <v>64</v>
      </c>
      <c r="N56" t="s">
        <v>64</v>
      </c>
      <c r="O56" t="s">
        <v>31</v>
      </c>
      <c r="P56" t="s">
        <v>188</v>
      </c>
      <c r="Q56">
        <v>0</v>
      </c>
      <c r="R56" t="s">
        <v>219</v>
      </c>
      <c r="S56" t="s">
        <v>233</v>
      </c>
      <c r="T56" t="s">
        <v>159</v>
      </c>
      <c r="U56" t="s">
        <v>238</v>
      </c>
      <c r="V56" t="s">
        <v>241</v>
      </c>
      <c r="W56">
        <v>100</v>
      </c>
      <c r="X56">
        <v>-2</v>
      </c>
      <c r="Y56" t="s">
        <v>58</v>
      </c>
      <c r="Z56">
        <v>0.29914499999999999</v>
      </c>
      <c r="AA56">
        <v>0.31410225000000003</v>
      </c>
      <c r="AC56">
        <v>0.59828999999999999</v>
      </c>
      <c r="AD56">
        <f>(Table1[[#This Row],[MtM Price]]-Table1[[#This Row],[Price]])*Table1[[#This Row],[Volume]]</f>
        <v>-2.9914500000000066E-2</v>
      </c>
      <c r="AE56" t="s">
        <v>33</v>
      </c>
    </row>
    <row r="57" spans="1:31" x14ac:dyDescent="0.3">
      <c r="A57" t="s">
        <v>88</v>
      </c>
      <c r="B57" t="s">
        <v>100</v>
      </c>
      <c r="C57" t="s">
        <v>22</v>
      </c>
      <c r="D57" t="s">
        <v>23</v>
      </c>
      <c r="E57" t="s">
        <v>42</v>
      </c>
      <c r="F57" t="s">
        <v>36</v>
      </c>
      <c r="G57" t="s">
        <v>26</v>
      </c>
      <c r="H57" t="s">
        <v>38</v>
      </c>
      <c r="I57" s="1">
        <v>45393</v>
      </c>
      <c r="J57" s="1">
        <v>45393</v>
      </c>
      <c r="K57" t="s">
        <v>208</v>
      </c>
      <c r="L57" t="s">
        <v>28</v>
      </c>
      <c r="M57" t="s">
        <v>29</v>
      </c>
      <c r="N57" t="s">
        <v>57</v>
      </c>
      <c r="O57" t="s">
        <v>31</v>
      </c>
      <c r="P57" t="s">
        <v>189</v>
      </c>
      <c r="Q57">
        <v>0</v>
      </c>
      <c r="R57" t="s">
        <v>220</v>
      </c>
      <c r="S57" t="s">
        <v>230</v>
      </c>
      <c r="T57" t="s">
        <v>157</v>
      </c>
      <c r="U57" t="s">
        <v>238</v>
      </c>
      <c r="V57" t="s">
        <v>241</v>
      </c>
      <c r="W57">
        <v>100</v>
      </c>
      <c r="X57">
        <v>2000000</v>
      </c>
      <c r="Y57" t="s">
        <v>55</v>
      </c>
      <c r="Z57">
        <v>0.29914499999999999</v>
      </c>
      <c r="AA57">
        <v>0.31410225000000003</v>
      </c>
      <c r="AB57">
        <v>-598290</v>
      </c>
      <c r="AD57">
        <f>(Table1[[#This Row],[MtM Price]]-Table1[[#This Row],[Price]])*Table1[[#This Row],[Volume]]</f>
        <v>29914.500000000065</v>
      </c>
      <c r="AE57" t="s">
        <v>33</v>
      </c>
    </row>
    <row r="58" spans="1:31" x14ac:dyDescent="0.3">
      <c r="A58" t="s">
        <v>88</v>
      </c>
      <c r="B58" t="s">
        <v>101</v>
      </c>
      <c r="C58" t="s">
        <v>22</v>
      </c>
      <c r="D58" t="s">
        <v>23</v>
      </c>
      <c r="E58" t="s">
        <v>42</v>
      </c>
      <c r="F58" t="s">
        <v>67</v>
      </c>
      <c r="G58" t="s">
        <v>37</v>
      </c>
      <c r="H58" t="s">
        <v>38</v>
      </c>
      <c r="I58" s="1">
        <v>45393</v>
      </c>
      <c r="J58" s="1">
        <v>45393</v>
      </c>
      <c r="K58" t="s">
        <v>208</v>
      </c>
      <c r="L58" t="s">
        <v>28</v>
      </c>
      <c r="M58" t="s">
        <v>29</v>
      </c>
      <c r="N58" t="s">
        <v>57</v>
      </c>
      <c r="O58" t="s">
        <v>31</v>
      </c>
      <c r="P58" t="s">
        <v>183</v>
      </c>
      <c r="Q58">
        <v>0</v>
      </c>
      <c r="R58" t="s">
        <v>220</v>
      </c>
      <c r="S58" t="s">
        <v>232</v>
      </c>
      <c r="T58" t="s">
        <v>157</v>
      </c>
      <c r="U58" t="s">
        <v>238</v>
      </c>
      <c r="V58" t="s">
        <v>241</v>
      </c>
      <c r="W58">
        <v>100</v>
      </c>
      <c r="X58">
        <v>-2000000</v>
      </c>
      <c r="Y58" t="s">
        <v>55</v>
      </c>
      <c r="Z58">
        <v>0.29914499999999999</v>
      </c>
      <c r="AA58">
        <v>0.22435875</v>
      </c>
      <c r="AC58">
        <v>598290</v>
      </c>
      <c r="AD58">
        <f>(Table1[[#This Row],[MtM Price]]-Table1[[#This Row],[Price]])*Table1[[#This Row],[Volume]]</f>
        <v>149572.5</v>
      </c>
      <c r="AE58" t="s">
        <v>33</v>
      </c>
    </row>
    <row r="59" spans="1:31" x14ac:dyDescent="0.3">
      <c r="A59" t="s">
        <v>88</v>
      </c>
      <c r="B59" t="s">
        <v>102</v>
      </c>
      <c r="C59" t="s">
        <v>22</v>
      </c>
      <c r="D59" t="s">
        <v>23</v>
      </c>
      <c r="E59" t="s">
        <v>42</v>
      </c>
      <c r="F59" t="s">
        <v>36</v>
      </c>
      <c r="G59" t="s">
        <v>26</v>
      </c>
      <c r="H59" t="s">
        <v>38</v>
      </c>
      <c r="I59" s="1">
        <v>45392</v>
      </c>
      <c r="J59" s="1">
        <v>45392</v>
      </c>
      <c r="K59" t="s">
        <v>208</v>
      </c>
      <c r="L59" t="s">
        <v>28</v>
      </c>
      <c r="M59" t="s">
        <v>29</v>
      </c>
      <c r="N59" t="s">
        <v>57</v>
      </c>
      <c r="O59" t="s">
        <v>31</v>
      </c>
      <c r="P59" t="s">
        <v>190</v>
      </c>
      <c r="Q59">
        <v>1</v>
      </c>
      <c r="R59" t="s">
        <v>220</v>
      </c>
      <c r="S59" t="s">
        <v>234</v>
      </c>
      <c r="T59" t="s">
        <v>157</v>
      </c>
      <c r="U59" t="s">
        <v>238</v>
      </c>
      <c r="V59" t="s">
        <v>241</v>
      </c>
      <c r="W59">
        <v>100</v>
      </c>
      <c r="X59">
        <v>750000</v>
      </c>
      <c r="Y59" t="s">
        <v>55</v>
      </c>
      <c r="Z59">
        <v>1.316238</v>
      </c>
      <c r="AA59">
        <v>1.3820499000000002</v>
      </c>
      <c r="AB59">
        <v>-987178.5</v>
      </c>
      <c r="AD59">
        <f>(Table1[[#This Row],[MtM Price]]-Table1[[#This Row],[Price]])*Table1[[#This Row],[Volume]]</f>
        <v>49358.925000000112</v>
      </c>
      <c r="AE59" t="s">
        <v>33</v>
      </c>
    </row>
    <row r="60" spans="1:31" x14ac:dyDescent="0.3">
      <c r="A60" t="s">
        <v>88</v>
      </c>
      <c r="B60" t="s">
        <v>103</v>
      </c>
      <c r="C60" t="s">
        <v>22</v>
      </c>
      <c r="D60" t="s">
        <v>23</v>
      </c>
      <c r="E60" t="s">
        <v>42</v>
      </c>
      <c r="F60" t="s">
        <v>65</v>
      </c>
      <c r="G60" t="s">
        <v>37</v>
      </c>
      <c r="H60" t="s">
        <v>38</v>
      </c>
      <c r="I60" s="1">
        <v>45392</v>
      </c>
      <c r="J60" s="1">
        <v>45392</v>
      </c>
      <c r="K60" t="s">
        <v>208</v>
      </c>
      <c r="L60" t="s">
        <v>28</v>
      </c>
      <c r="M60" t="s">
        <v>29</v>
      </c>
      <c r="N60" t="s">
        <v>57</v>
      </c>
      <c r="O60" t="s">
        <v>31</v>
      </c>
      <c r="P60" t="s">
        <v>183</v>
      </c>
      <c r="Q60">
        <v>0</v>
      </c>
      <c r="R60" t="s">
        <v>220</v>
      </c>
      <c r="S60" t="s">
        <v>232</v>
      </c>
      <c r="T60" t="s">
        <v>157</v>
      </c>
      <c r="U60" t="s">
        <v>238</v>
      </c>
      <c r="V60" t="s">
        <v>241</v>
      </c>
      <c r="W60">
        <v>100</v>
      </c>
      <c r="X60">
        <v>-750000</v>
      </c>
      <c r="Y60" t="s">
        <v>55</v>
      </c>
      <c r="Z60">
        <v>1.316238</v>
      </c>
      <c r="AA60">
        <v>0.98717849999999996</v>
      </c>
      <c r="AC60">
        <v>987178.5</v>
      </c>
      <c r="AD60">
        <f>(Table1[[#This Row],[MtM Price]]-Table1[[#This Row],[Price]])*Table1[[#This Row],[Volume]]</f>
        <v>246794.62500000006</v>
      </c>
      <c r="AE60" t="s">
        <v>33</v>
      </c>
    </row>
    <row r="61" spans="1:31" x14ac:dyDescent="0.3">
      <c r="A61" t="s">
        <v>88</v>
      </c>
      <c r="B61" t="s">
        <v>104</v>
      </c>
      <c r="C61" t="s">
        <v>22</v>
      </c>
      <c r="D61" t="s">
        <v>23</v>
      </c>
      <c r="E61" t="s">
        <v>42</v>
      </c>
      <c r="F61" t="s">
        <v>66</v>
      </c>
      <c r="G61" t="s">
        <v>26</v>
      </c>
      <c r="H61" t="s">
        <v>38</v>
      </c>
      <c r="I61" s="1">
        <v>45379</v>
      </c>
      <c r="J61" s="1">
        <v>45379</v>
      </c>
      <c r="K61" t="s">
        <v>208</v>
      </c>
      <c r="L61" t="s">
        <v>28</v>
      </c>
      <c r="M61" t="s">
        <v>29</v>
      </c>
      <c r="N61" t="s">
        <v>57</v>
      </c>
      <c r="O61" t="s">
        <v>31</v>
      </c>
      <c r="P61" t="s">
        <v>191</v>
      </c>
      <c r="Q61">
        <v>0</v>
      </c>
      <c r="R61" t="s">
        <v>224</v>
      </c>
      <c r="S61" t="s">
        <v>230</v>
      </c>
      <c r="T61" t="s">
        <v>157</v>
      </c>
      <c r="U61" t="s">
        <v>238</v>
      </c>
      <c r="V61" t="s">
        <v>241</v>
      </c>
      <c r="W61">
        <v>100</v>
      </c>
      <c r="X61">
        <v>335000</v>
      </c>
      <c r="Y61" t="s">
        <v>55</v>
      </c>
      <c r="Z61">
        <v>1.397435</v>
      </c>
      <c r="AA61">
        <v>1.676922</v>
      </c>
      <c r="AB61">
        <v>-468140.5575</v>
      </c>
      <c r="AD61">
        <f>(Table1[[#This Row],[MtM Price]]-Table1[[#This Row],[Price]])*Table1[[#This Row],[Volume]]</f>
        <v>93628.145000000019</v>
      </c>
      <c r="AE61" t="s">
        <v>33</v>
      </c>
    </row>
    <row r="62" spans="1:31" x14ac:dyDescent="0.3">
      <c r="A62" t="s">
        <v>88</v>
      </c>
      <c r="B62" t="s">
        <v>105</v>
      </c>
      <c r="C62" t="s">
        <v>22</v>
      </c>
      <c r="D62" t="s">
        <v>23</v>
      </c>
      <c r="E62" t="s">
        <v>42</v>
      </c>
      <c r="F62" t="s">
        <v>67</v>
      </c>
      <c r="G62" t="s">
        <v>37</v>
      </c>
      <c r="H62" t="s">
        <v>38</v>
      </c>
      <c r="I62" s="1">
        <v>45379</v>
      </c>
      <c r="J62" s="1">
        <v>45379</v>
      </c>
      <c r="K62" t="s">
        <v>208</v>
      </c>
      <c r="L62" t="s">
        <v>28</v>
      </c>
      <c r="M62" t="s">
        <v>29</v>
      </c>
      <c r="N62" t="s">
        <v>57</v>
      </c>
      <c r="O62" t="s">
        <v>31</v>
      </c>
      <c r="P62" t="s">
        <v>183</v>
      </c>
      <c r="Q62">
        <v>0</v>
      </c>
      <c r="R62" t="s">
        <v>224</v>
      </c>
      <c r="S62" t="s">
        <v>232</v>
      </c>
      <c r="T62" t="s">
        <v>157</v>
      </c>
      <c r="U62" t="s">
        <v>238</v>
      </c>
      <c r="V62" t="s">
        <v>241</v>
      </c>
      <c r="W62">
        <v>100</v>
      </c>
      <c r="X62">
        <v>-335000</v>
      </c>
      <c r="Y62" t="s">
        <v>55</v>
      </c>
      <c r="Z62">
        <v>1.397435</v>
      </c>
      <c r="AA62">
        <v>1.4673067500000001</v>
      </c>
      <c r="AC62">
        <v>468140.5575</v>
      </c>
      <c r="AD62">
        <f>(Table1[[#This Row],[MtM Price]]-Table1[[#This Row],[Price]])*Table1[[#This Row],[Volume]]</f>
        <v>-23407.036250000041</v>
      </c>
      <c r="AE62" t="s">
        <v>33</v>
      </c>
    </row>
    <row r="63" spans="1:31" x14ac:dyDescent="0.3">
      <c r="A63" t="s">
        <v>97</v>
      </c>
      <c r="B63" t="s">
        <v>106</v>
      </c>
      <c r="C63" t="s">
        <v>22</v>
      </c>
      <c r="D63" t="s">
        <v>23</v>
      </c>
      <c r="E63" t="s">
        <v>42</v>
      </c>
      <c r="F63" t="s">
        <v>36</v>
      </c>
      <c r="G63" t="s">
        <v>26</v>
      </c>
      <c r="H63" t="s">
        <v>38</v>
      </c>
      <c r="I63" s="1">
        <v>45379</v>
      </c>
      <c r="J63" s="1">
        <v>45379</v>
      </c>
      <c r="K63" t="s">
        <v>209</v>
      </c>
      <c r="L63" t="s">
        <v>28</v>
      </c>
      <c r="M63" t="s">
        <v>64</v>
      </c>
      <c r="N63" t="s">
        <v>64</v>
      </c>
      <c r="O63" t="s">
        <v>31</v>
      </c>
      <c r="P63" t="s">
        <v>192</v>
      </c>
      <c r="Q63">
        <v>1</v>
      </c>
      <c r="R63" t="s">
        <v>224</v>
      </c>
      <c r="S63" t="s">
        <v>234</v>
      </c>
      <c r="T63" t="s">
        <v>160</v>
      </c>
      <c r="U63" t="s">
        <v>238</v>
      </c>
      <c r="V63" t="s">
        <v>241</v>
      </c>
      <c r="W63">
        <v>50</v>
      </c>
      <c r="X63">
        <v>5350</v>
      </c>
      <c r="Y63" t="s">
        <v>58</v>
      </c>
      <c r="Z63">
        <v>0.56410199999999999</v>
      </c>
      <c r="AA63">
        <v>0.67692239999999992</v>
      </c>
      <c r="AB63">
        <v>-1508.9728500000001</v>
      </c>
      <c r="AD63">
        <f>(Table1[[#This Row],[MtM Price]]-Table1[[#This Row],[Price]])*Table1[[#This Row],[Volume]]</f>
        <v>603.58913999999959</v>
      </c>
      <c r="AE63" t="s">
        <v>33</v>
      </c>
    </row>
    <row r="64" spans="1:31" x14ac:dyDescent="0.3">
      <c r="A64" t="s">
        <v>97</v>
      </c>
      <c r="B64" t="s">
        <v>106</v>
      </c>
      <c r="C64" t="s">
        <v>22</v>
      </c>
      <c r="D64" t="s">
        <v>23</v>
      </c>
      <c r="E64" t="s">
        <v>42</v>
      </c>
      <c r="F64" t="s">
        <v>36</v>
      </c>
      <c r="G64" t="s">
        <v>26</v>
      </c>
      <c r="H64" t="s">
        <v>38</v>
      </c>
      <c r="I64" s="1">
        <v>45379</v>
      </c>
      <c r="J64" s="1">
        <v>45379</v>
      </c>
      <c r="K64" t="s">
        <v>209</v>
      </c>
      <c r="L64" t="s">
        <v>28</v>
      </c>
      <c r="M64" t="s">
        <v>64</v>
      </c>
      <c r="N64" t="s">
        <v>64</v>
      </c>
      <c r="O64" t="s">
        <v>31</v>
      </c>
      <c r="P64" t="s">
        <v>192</v>
      </c>
      <c r="Q64">
        <v>1</v>
      </c>
      <c r="R64" t="s">
        <v>224</v>
      </c>
      <c r="S64" t="s">
        <v>234</v>
      </c>
      <c r="T64" t="s">
        <v>161</v>
      </c>
      <c r="U64" t="s">
        <v>238</v>
      </c>
      <c r="V64" t="s">
        <v>241</v>
      </c>
      <c r="W64">
        <v>50</v>
      </c>
      <c r="X64">
        <v>5350</v>
      </c>
      <c r="Y64" t="s">
        <v>58</v>
      </c>
      <c r="Z64">
        <v>0.56410199999999999</v>
      </c>
      <c r="AA64">
        <v>0.67692239999999992</v>
      </c>
      <c r="AB64">
        <v>-1508.9728500000001</v>
      </c>
      <c r="AD64">
        <f>(Table1[[#This Row],[MtM Price]]-Table1[[#This Row],[Price]])*Table1[[#This Row],[Volume]]</f>
        <v>603.58913999999959</v>
      </c>
      <c r="AE64" t="s">
        <v>33</v>
      </c>
    </row>
    <row r="65" spans="1:31" x14ac:dyDescent="0.3">
      <c r="A65" t="s">
        <v>97</v>
      </c>
      <c r="B65" t="s">
        <v>107</v>
      </c>
      <c r="C65" t="s">
        <v>22</v>
      </c>
      <c r="D65" t="s">
        <v>23</v>
      </c>
      <c r="E65" t="s">
        <v>42</v>
      </c>
      <c r="F65" t="s">
        <v>36</v>
      </c>
      <c r="G65" t="s">
        <v>37</v>
      </c>
      <c r="H65" t="s">
        <v>38</v>
      </c>
      <c r="I65" s="1">
        <v>45379</v>
      </c>
      <c r="J65" s="1">
        <v>45379</v>
      </c>
      <c r="K65" t="s">
        <v>209</v>
      </c>
      <c r="L65" t="s">
        <v>28</v>
      </c>
      <c r="M65" t="s">
        <v>64</v>
      </c>
      <c r="N65" t="s">
        <v>64</v>
      </c>
      <c r="O65" t="s">
        <v>31</v>
      </c>
      <c r="P65" t="s">
        <v>193</v>
      </c>
      <c r="Q65">
        <v>0</v>
      </c>
      <c r="R65" t="s">
        <v>219</v>
      </c>
      <c r="S65" t="s">
        <v>230</v>
      </c>
      <c r="T65" t="s">
        <v>160</v>
      </c>
      <c r="U65" t="s">
        <v>238</v>
      </c>
      <c r="V65" t="s">
        <v>241</v>
      </c>
      <c r="W65">
        <v>50</v>
      </c>
      <c r="X65">
        <v>-5350</v>
      </c>
      <c r="Y65" t="s">
        <v>58</v>
      </c>
      <c r="Z65">
        <v>0.76922999999999997</v>
      </c>
      <c r="AA65">
        <v>0.80769150000000001</v>
      </c>
      <c r="AC65">
        <v>2057.6902500000001</v>
      </c>
      <c r="AD65">
        <f>(Table1[[#This Row],[MtM Price]]-Table1[[#This Row],[Price]])*Table1[[#This Row],[Volume]]</f>
        <v>-205.7690250000002</v>
      </c>
      <c r="AE65" t="s">
        <v>33</v>
      </c>
    </row>
    <row r="66" spans="1:31" x14ac:dyDescent="0.3">
      <c r="A66" t="s">
        <v>97</v>
      </c>
      <c r="B66" t="s">
        <v>107</v>
      </c>
      <c r="C66" t="s">
        <v>22</v>
      </c>
      <c r="D66" t="s">
        <v>23</v>
      </c>
      <c r="E66" t="s">
        <v>42</v>
      </c>
      <c r="F66" t="s">
        <v>36</v>
      </c>
      <c r="G66" t="s">
        <v>37</v>
      </c>
      <c r="H66" t="s">
        <v>38</v>
      </c>
      <c r="I66" s="1">
        <v>45379</v>
      </c>
      <c r="J66" s="1">
        <v>45379</v>
      </c>
      <c r="K66" t="s">
        <v>209</v>
      </c>
      <c r="L66" t="s">
        <v>28</v>
      </c>
      <c r="M66" t="s">
        <v>64</v>
      </c>
      <c r="N66" t="s">
        <v>64</v>
      </c>
      <c r="O66" t="s">
        <v>31</v>
      </c>
      <c r="P66" t="s">
        <v>193</v>
      </c>
      <c r="Q66">
        <v>0</v>
      </c>
      <c r="R66" t="s">
        <v>223</v>
      </c>
      <c r="S66" t="s">
        <v>230</v>
      </c>
      <c r="T66" t="s">
        <v>161</v>
      </c>
      <c r="U66" t="s">
        <v>238</v>
      </c>
      <c r="V66" t="s">
        <v>241</v>
      </c>
      <c r="W66">
        <v>50</v>
      </c>
      <c r="X66">
        <v>-5350</v>
      </c>
      <c r="Y66" t="s">
        <v>58</v>
      </c>
      <c r="Z66">
        <v>0.76922999999999997</v>
      </c>
      <c r="AA66">
        <v>0.80769150000000001</v>
      </c>
      <c r="AC66">
        <v>2057.6902500000001</v>
      </c>
      <c r="AD66">
        <f>(Table1[[#This Row],[MtM Price]]-Table1[[#This Row],[Price]])*Table1[[#This Row],[Volume]]</f>
        <v>-205.7690250000002</v>
      </c>
      <c r="AE66" t="s">
        <v>33</v>
      </c>
    </row>
    <row r="67" spans="1:31" x14ac:dyDescent="0.3">
      <c r="A67" t="s">
        <v>97</v>
      </c>
      <c r="B67" t="s">
        <v>108</v>
      </c>
      <c r="C67" t="s">
        <v>22</v>
      </c>
      <c r="D67" t="s">
        <v>23</v>
      </c>
      <c r="E67" t="s">
        <v>42</v>
      </c>
      <c r="F67" t="s">
        <v>87</v>
      </c>
      <c r="G67" t="s">
        <v>26</v>
      </c>
      <c r="H67" t="s">
        <v>38</v>
      </c>
      <c r="I67" s="1">
        <v>45378</v>
      </c>
      <c r="J67" s="1">
        <v>45378</v>
      </c>
      <c r="K67" t="s">
        <v>209</v>
      </c>
      <c r="L67" t="s">
        <v>28</v>
      </c>
      <c r="M67" t="s">
        <v>64</v>
      </c>
      <c r="N67" t="s">
        <v>64</v>
      </c>
      <c r="O67" t="s">
        <v>31</v>
      </c>
      <c r="P67" t="s">
        <v>192</v>
      </c>
      <c r="Q67">
        <v>1</v>
      </c>
      <c r="R67" t="s">
        <v>223</v>
      </c>
      <c r="S67" t="s">
        <v>234</v>
      </c>
      <c r="T67" t="s">
        <v>161</v>
      </c>
      <c r="U67" t="s">
        <v>238</v>
      </c>
      <c r="V67" t="s">
        <v>241</v>
      </c>
      <c r="W67">
        <v>100</v>
      </c>
      <c r="X67">
        <v>61</v>
      </c>
      <c r="Y67" t="s">
        <v>58</v>
      </c>
      <c r="Z67">
        <v>5.1281999999999996</v>
      </c>
      <c r="AA67">
        <v>6.1538399999999998</v>
      </c>
      <c r="AB67">
        <v>-312.8202</v>
      </c>
      <c r="AD67">
        <f>(Table1[[#This Row],[MtM Price]]-Table1[[#This Row],[Price]])*Table1[[#This Row],[Volume]]</f>
        <v>62.564040000000006</v>
      </c>
      <c r="AE67" t="s">
        <v>33</v>
      </c>
    </row>
    <row r="68" spans="1:31" x14ac:dyDescent="0.3">
      <c r="A68" t="s">
        <v>97</v>
      </c>
      <c r="B68" t="s">
        <v>109</v>
      </c>
      <c r="C68" t="s">
        <v>22</v>
      </c>
      <c r="D68" t="s">
        <v>23</v>
      </c>
      <c r="E68" t="s">
        <v>42</v>
      </c>
      <c r="F68" t="s">
        <v>87</v>
      </c>
      <c r="G68" t="s">
        <v>37</v>
      </c>
      <c r="H68" t="s">
        <v>38</v>
      </c>
      <c r="I68" s="1">
        <v>45378</v>
      </c>
      <c r="J68" s="1">
        <v>45378</v>
      </c>
      <c r="K68" t="s">
        <v>209</v>
      </c>
      <c r="L68" t="s">
        <v>28</v>
      </c>
      <c r="M68" t="s">
        <v>64</v>
      </c>
      <c r="N68" t="s">
        <v>64</v>
      </c>
      <c r="O68" t="s">
        <v>31</v>
      </c>
      <c r="P68" t="s">
        <v>194</v>
      </c>
      <c r="Q68">
        <v>0</v>
      </c>
      <c r="R68" t="s">
        <v>223</v>
      </c>
      <c r="S68" t="s">
        <v>235</v>
      </c>
      <c r="T68" t="s">
        <v>161</v>
      </c>
      <c r="U68" t="s">
        <v>238</v>
      </c>
      <c r="V68" t="s">
        <v>241</v>
      </c>
      <c r="W68">
        <v>100</v>
      </c>
      <c r="X68">
        <v>-61</v>
      </c>
      <c r="Y68" t="s">
        <v>58</v>
      </c>
      <c r="Z68">
        <v>6.8376000000000001</v>
      </c>
      <c r="AA68">
        <v>5.1281999999999996</v>
      </c>
      <c r="AC68">
        <v>417.09359999999998</v>
      </c>
      <c r="AD68">
        <f>(Table1[[#This Row],[MtM Price]]-Table1[[#This Row],[Price]])*Table1[[#This Row],[Volume]]</f>
        <v>104.27340000000002</v>
      </c>
      <c r="AE68" t="s">
        <v>33</v>
      </c>
    </row>
    <row r="69" spans="1:31" x14ac:dyDescent="0.3">
      <c r="A69" t="s">
        <v>97</v>
      </c>
      <c r="B69" t="s">
        <v>110</v>
      </c>
      <c r="C69" t="s">
        <v>22</v>
      </c>
      <c r="D69" t="s">
        <v>23</v>
      </c>
      <c r="E69" t="s">
        <v>42</v>
      </c>
      <c r="F69" t="s">
        <v>87</v>
      </c>
      <c r="G69" t="s">
        <v>26</v>
      </c>
      <c r="H69" t="s">
        <v>38</v>
      </c>
      <c r="I69" s="1">
        <v>45377</v>
      </c>
      <c r="J69" s="1">
        <v>45377</v>
      </c>
      <c r="K69" t="s">
        <v>209</v>
      </c>
      <c r="L69" t="s">
        <v>28</v>
      </c>
      <c r="M69" t="s">
        <v>64</v>
      </c>
      <c r="N69" t="s">
        <v>64</v>
      </c>
      <c r="O69" t="s">
        <v>31</v>
      </c>
      <c r="P69" t="s">
        <v>192</v>
      </c>
      <c r="Q69">
        <v>1</v>
      </c>
      <c r="R69" t="s">
        <v>223</v>
      </c>
      <c r="S69" t="s">
        <v>234</v>
      </c>
      <c r="T69" t="s">
        <v>162</v>
      </c>
      <c r="U69" t="s">
        <v>238</v>
      </c>
      <c r="V69" t="s">
        <v>241</v>
      </c>
      <c r="W69">
        <v>50</v>
      </c>
      <c r="X69">
        <v>694</v>
      </c>
      <c r="Y69" t="s">
        <v>58</v>
      </c>
      <c r="Z69">
        <v>0.55555500000000002</v>
      </c>
      <c r="AA69">
        <v>0.58333275000000007</v>
      </c>
      <c r="AB69">
        <v>-192.77758499999999</v>
      </c>
      <c r="AD69">
        <f>(Table1[[#This Row],[MtM Price]]-Table1[[#This Row],[Price]])*Table1[[#This Row],[Volume]]</f>
        <v>19.277758500000033</v>
      </c>
      <c r="AE69" t="s">
        <v>33</v>
      </c>
    </row>
    <row r="70" spans="1:31" x14ac:dyDescent="0.3">
      <c r="A70" t="s">
        <v>97</v>
      </c>
      <c r="B70" t="s">
        <v>110</v>
      </c>
      <c r="C70" t="s">
        <v>22</v>
      </c>
      <c r="D70" t="s">
        <v>23</v>
      </c>
      <c r="E70" t="s">
        <v>42</v>
      </c>
      <c r="F70" t="s">
        <v>87</v>
      </c>
      <c r="G70" t="s">
        <v>26</v>
      </c>
      <c r="H70" t="s">
        <v>38</v>
      </c>
      <c r="I70" s="1">
        <v>45377</v>
      </c>
      <c r="J70" s="1">
        <v>45377</v>
      </c>
      <c r="K70" t="s">
        <v>209</v>
      </c>
      <c r="L70" t="s">
        <v>28</v>
      </c>
      <c r="M70" t="s">
        <v>64</v>
      </c>
      <c r="N70" t="s">
        <v>64</v>
      </c>
      <c r="O70" t="s">
        <v>31</v>
      </c>
      <c r="P70" t="s">
        <v>192</v>
      </c>
      <c r="Q70">
        <v>1</v>
      </c>
      <c r="R70" t="s">
        <v>223</v>
      </c>
      <c r="S70" t="s">
        <v>234</v>
      </c>
      <c r="T70" t="s">
        <v>161</v>
      </c>
      <c r="U70" t="s">
        <v>238</v>
      </c>
      <c r="V70" t="s">
        <v>241</v>
      </c>
      <c r="W70">
        <v>50</v>
      </c>
      <c r="X70">
        <v>694</v>
      </c>
      <c r="Y70" t="s">
        <v>58</v>
      </c>
      <c r="Z70">
        <v>0.55555500000000002</v>
      </c>
      <c r="AA70">
        <v>0.58333275000000007</v>
      </c>
      <c r="AB70">
        <v>-192.77758499999999</v>
      </c>
      <c r="AD70">
        <f>(Table1[[#This Row],[MtM Price]]-Table1[[#This Row],[Price]])*Table1[[#This Row],[Volume]]</f>
        <v>19.277758500000033</v>
      </c>
      <c r="AE70" t="s">
        <v>33</v>
      </c>
    </row>
    <row r="71" spans="1:31" x14ac:dyDescent="0.3">
      <c r="A71" t="s">
        <v>97</v>
      </c>
      <c r="B71" t="s">
        <v>111</v>
      </c>
      <c r="C71" t="s">
        <v>22</v>
      </c>
      <c r="D71" t="s">
        <v>23</v>
      </c>
      <c r="E71" t="s">
        <v>42</v>
      </c>
      <c r="F71" t="s">
        <v>36</v>
      </c>
      <c r="G71" t="s">
        <v>26</v>
      </c>
      <c r="H71" t="s">
        <v>38</v>
      </c>
      <c r="I71" s="1">
        <v>45037</v>
      </c>
      <c r="J71" s="1">
        <v>45037</v>
      </c>
      <c r="K71" t="s">
        <v>209</v>
      </c>
      <c r="L71" t="s">
        <v>28</v>
      </c>
      <c r="M71" t="s">
        <v>64</v>
      </c>
      <c r="N71" t="s">
        <v>64</v>
      </c>
      <c r="O71" t="s">
        <v>31</v>
      </c>
      <c r="P71" t="s">
        <v>195</v>
      </c>
      <c r="Q71">
        <v>0</v>
      </c>
      <c r="R71" t="s">
        <v>216</v>
      </c>
      <c r="S71" t="s">
        <v>235</v>
      </c>
      <c r="T71" t="s">
        <v>163</v>
      </c>
      <c r="U71" t="s">
        <v>238</v>
      </c>
      <c r="V71" t="s">
        <v>241</v>
      </c>
      <c r="W71">
        <v>50</v>
      </c>
      <c r="X71">
        <v>2500</v>
      </c>
      <c r="Y71" t="s">
        <v>58</v>
      </c>
      <c r="Z71">
        <v>22.051259999999999</v>
      </c>
      <c r="AA71">
        <v>23.153822999999999</v>
      </c>
      <c r="AB71">
        <v>-27564.075000000001</v>
      </c>
      <c r="AD71">
        <f>(Table1[[#This Row],[MtM Price]]-Table1[[#This Row],[Price]])*Table1[[#This Row],[Volume]]</f>
        <v>2756.4074999999998</v>
      </c>
      <c r="AE71" t="s">
        <v>33</v>
      </c>
    </row>
    <row r="72" spans="1:31" x14ac:dyDescent="0.3">
      <c r="A72" t="s">
        <v>97</v>
      </c>
      <c r="B72" t="s">
        <v>111</v>
      </c>
      <c r="C72" t="s">
        <v>22</v>
      </c>
      <c r="D72" t="s">
        <v>23</v>
      </c>
      <c r="E72" t="s">
        <v>42</v>
      </c>
      <c r="F72" t="s">
        <v>36</v>
      </c>
      <c r="G72" t="s">
        <v>26</v>
      </c>
      <c r="H72" t="s">
        <v>38</v>
      </c>
      <c r="I72" s="1">
        <v>45037</v>
      </c>
      <c r="J72" s="1">
        <v>45037</v>
      </c>
      <c r="K72" t="s">
        <v>209</v>
      </c>
      <c r="L72" t="s">
        <v>28</v>
      </c>
      <c r="M72" t="s">
        <v>64</v>
      </c>
      <c r="N72" t="s">
        <v>64</v>
      </c>
      <c r="O72" t="s">
        <v>31</v>
      </c>
      <c r="P72" t="s">
        <v>195</v>
      </c>
      <c r="Q72">
        <v>0</v>
      </c>
      <c r="R72" t="s">
        <v>219</v>
      </c>
      <c r="S72" t="s">
        <v>235</v>
      </c>
      <c r="T72" t="s">
        <v>164</v>
      </c>
      <c r="U72" t="s">
        <v>238</v>
      </c>
      <c r="V72" t="s">
        <v>241</v>
      </c>
      <c r="W72">
        <v>50</v>
      </c>
      <c r="X72">
        <v>2500</v>
      </c>
      <c r="Y72" t="s">
        <v>58</v>
      </c>
      <c r="Z72">
        <v>22.051259999999999</v>
      </c>
      <c r="AA72">
        <v>23.153822999999999</v>
      </c>
      <c r="AB72">
        <v>-27564.075000000001</v>
      </c>
      <c r="AD72">
        <f>(Table1[[#This Row],[MtM Price]]-Table1[[#This Row],[Price]])*Table1[[#This Row],[Volume]]</f>
        <v>2756.4074999999998</v>
      </c>
      <c r="AE72" t="s">
        <v>33</v>
      </c>
    </row>
    <row r="73" spans="1:31" x14ac:dyDescent="0.3">
      <c r="A73" t="s">
        <v>97</v>
      </c>
      <c r="B73" t="s">
        <v>112</v>
      </c>
      <c r="C73" t="s">
        <v>22</v>
      </c>
      <c r="D73" t="s">
        <v>23</v>
      </c>
      <c r="E73" t="s">
        <v>42</v>
      </c>
      <c r="F73" t="s">
        <v>36</v>
      </c>
      <c r="G73" t="s">
        <v>26</v>
      </c>
      <c r="H73" t="s">
        <v>38</v>
      </c>
      <c r="I73" s="1">
        <v>45058</v>
      </c>
      <c r="J73" s="1">
        <v>45058</v>
      </c>
      <c r="K73" t="s">
        <v>209</v>
      </c>
      <c r="L73" t="s">
        <v>28</v>
      </c>
      <c r="M73" t="s">
        <v>64</v>
      </c>
      <c r="N73" t="s">
        <v>64</v>
      </c>
      <c r="O73" t="s">
        <v>31</v>
      </c>
      <c r="P73" t="s">
        <v>195</v>
      </c>
      <c r="Q73">
        <v>0</v>
      </c>
      <c r="R73" t="s">
        <v>213</v>
      </c>
      <c r="S73" t="s">
        <v>235</v>
      </c>
      <c r="T73" t="s">
        <v>163</v>
      </c>
      <c r="U73" t="s">
        <v>238</v>
      </c>
      <c r="V73" t="s">
        <v>241</v>
      </c>
      <c r="W73">
        <v>50</v>
      </c>
      <c r="X73">
        <v>2500</v>
      </c>
      <c r="Y73" t="s">
        <v>58</v>
      </c>
      <c r="Z73">
        <v>22.051259999999999</v>
      </c>
      <c r="AA73">
        <v>23.153822999999999</v>
      </c>
      <c r="AB73">
        <v>-27564.075000000001</v>
      </c>
      <c r="AD73">
        <f>(Table1[[#This Row],[MtM Price]]-Table1[[#This Row],[Price]])*Table1[[#This Row],[Volume]]</f>
        <v>2756.4074999999998</v>
      </c>
      <c r="AE73" t="s">
        <v>33</v>
      </c>
    </row>
    <row r="74" spans="1:31" x14ac:dyDescent="0.3">
      <c r="A74" t="s">
        <v>97</v>
      </c>
      <c r="B74" t="s">
        <v>112</v>
      </c>
      <c r="C74" t="s">
        <v>22</v>
      </c>
      <c r="D74" t="s">
        <v>23</v>
      </c>
      <c r="E74" t="s">
        <v>42</v>
      </c>
      <c r="F74" t="s">
        <v>36</v>
      </c>
      <c r="G74" t="s">
        <v>26</v>
      </c>
      <c r="H74" t="s">
        <v>38</v>
      </c>
      <c r="I74" s="1">
        <v>45058</v>
      </c>
      <c r="J74" s="1">
        <v>45058</v>
      </c>
      <c r="K74" t="s">
        <v>209</v>
      </c>
      <c r="L74" t="s">
        <v>28</v>
      </c>
      <c r="M74" t="s">
        <v>64</v>
      </c>
      <c r="N74" t="s">
        <v>64</v>
      </c>
      <c r="O74" t="s">
        <v>31</v>
      </c>
      <c r="P74" t="s">
        <v>195</v>
      </c>
      <c r="Q74">
        <v>0</v>
      </c>
      <c r="R74" t="s">
        <v>228</v>
      </c>
      <c r="S74" t="s">
        <v>235</v>
      </c>
      <c r="T74" t="s">
        <v>164</v>
      </c>
      <c r="U74" t="s">
        <v>238</v>
      </c>
      <c r="V74" t="s">
        <v>241</v>
      </c>
      <c r="W74">
        <v>50</v>
      </c>
      <c r="X74">
        <v>2500</v>
      </c>
      <c r="Y74" t="s">
        <v>58</v>
      </c>
      <c r="Z74">
        <v>22.051259999999999</v>
      </c>
      <c r="AA74">
        <v>23.153822999999999</v>
      </c>
      <c r="AB74">
        <v>-27564.075000000001</v>
      </c>
      <c r="AD74">
        <f>(Table1[[#This Row],[MtM Price]]-Table1[[#This Row],[Price]])*Table1[[#This Row],[Volume]]</f>
        <v>2756.4074999999998</v>
      </c>
      <c r="AE74" t="s">
        <v>33</v>
      </c>
    </row>
    <row r="75" spans="1:31" x14ac:dyDescent="0.3">
      <c r="A75" t="s">
        <v>97</v>
      </c>
      <c r="B75" t="s">
        <v>113</v>
      </c>
      <c r="C75" t="s">
        <v>22</v>
      </c>
      <c r="D75" t="s">
        <v>23</v>
      </c>
      <c r="E75" t="s">
        <v>42</v>
      </c>
      <c r="F75" t="s">
        <v>87</v>
      </c>
      <c r="G75" t="s">
        <v>26</v>
      </c>
      <c r="H75" t="s">
        <v>38</v>
      </c>
      <c r="I75" s="1">
        <v>45300</v>
      </c>
      <c r="J75" s="1">
        <v>45300</v>
      </c>
      <c r="K75" t="s">
        <v>209</v>
      </c>
      <c r="L75" t="s">
        <v>28</v>
      </c>
      <c r="M75" t="s">
        <v>64</v>
      </c>
      <c r="N75" t="s">
        <v>64</v>
      </c>
      <c r="O75" t="s">
        <v>31</v>
      </c>
      <c r="P75" t="s">
        <v>196</v>
      </c>
      <c r="Q75">
        <v>0</v>
      </c>
      <c r="R75" t="s">
        <v>219</v>
      </c>
      <c r="S75" t="s">
        <v>234</v>
      </c>
      <c r="T75" t="s">
        <v>159</v>
      </c>
      <c r="U75" t="s">
        <v>238</v>
      </c>
      <c r="V75" t="s">
        <v>241</v>
      </c>
      <c r="W75">
        <v>50</v>
      </c>
      <c r="X75">
        <v>1400</v>
      </c>
      <c r="Y75" t="s">
        <v>58</v>
      </c>
      <c r="Z75">
        <v>0.76922999999999997</v>
      </c>
      <c r="AA75">
        <v>0.80769150000000001</v>
      </c>
      <c r="AB75">
        <v>-538.46100000000001</v>
      </c>
      <c r="AD75">
        <f>(Table1[[#This Row],[MtM Price]]-Table1[[#This Row],[Price]])*Table1[[#This Row],[Volume]]</f>
        <v>53.84610000000005</v>
      </c>
      <c r="AE75" t="s">
        <v>33</v>
      </c>
    </row>
    <row r="76" spans="1:31" x14ac:dyDescent="0.3">
      <c r="A76" t="s">
        <v>114</v>
      </c>
      <c r="B76" t="s">
        <v>115</v>
      </c>
      <c r="C76" t="s">
        <v>22</v>
      </c>
      <c r="D76" t="s">
        <v>23</v>
      </c>
      <c r="E76" t="s">
        <v>42</v>
      </c>
      <c r="F76" t="s">
        <v>66</v>
      </c>
      <c r="G76" t="s">
        <v>26</v>
      </c>
      <c r="H76" t="s">
        <v>38</v>
      </c>
      <c r="I76" s="1">
        <v>45376</v>
      </c>
      <c r="J76" s="1">
        <v>45376</v>
      </c>
      <c r="K76" t="s">
        <v>210</v>
      </c>
      <c r="L76" t="s">
        <v>28</v>
      </c>
      <c r="M76" t="s">
        <v>47</v>
      </c>
      <c r="N76" t="s">
        <v>47</v>
      </c>
      <c r="O76" t="s">
        <v>31</v>
      </c>
      <c r="P76" t="s">
        <v>197</v>
      </c>
      <c r="Q76">
        <v>0</v>
      </c>
      <c r="R76" t="s">
        <v>223</v>
      </c>
      <c r="S76" t="s">
        <v>235</v>
      </c>
      <c r="T76" t="s">
        <v>156</v>
      </c>
      <c r="U76" t="s">
        <v>238</v>
      </c>
      <c r="V76" t="s">
        <v>243</v>
      </c>
      <c r="W76">
        <v>100</v>
      </c>
      <c r="X76">
        <v>1338375</v>
      </c>
      <c r="Y76" t="s">
        <v>48</v>
      </c>
      <c r="Z76">
        <v>6.3E-3</v>
      </c>
      <c r="AA76">
        <v>6.6150000000000002E-3</v>
      </c>
      <c r="AB76">
        <v>-8431.76</v>
      </c>
      <c r="AD76">
        <f>(Table1[[#This Row],[MtM Price]]-Table1[[#This Row],[Price]])*Table1[[#This Row],[Volume]]</f>
        <v>421.58812500000022</v>
      </c>
      <c r="AE76" t="s">
        <v>33</v>
      </c>
    </row>
    <row r="77" spans="1:31" x14ac:dyDescent="0.3">
      <c r="A77" t="s">
        <v>114</v>
      </c>
      <c r="B77" t="s">
        <v>116</v>
      </c>
      <c r="C77" t="s">
        <v>22</v>
      </c>
      <c r="D77" t="s">
        <v>23</v>
      </c>
      <c r="E77" t="s">
        <v>42</v>
      </c>
      <c r="F77" t="s">
        <v>67</v>
      </c>
      <c r="G77" t="s">
        <v>37</v>
      </c>
      <c r="H77" t="s">
        <v>38</v>
      </c>
      <c r="I77" s="1">
        <v>45376</v>
      </c>
      <c r="J77" s="1">
        <v>45376</v>
      </c>
      <c r="K77" t="s">
        <v>210</v>
      </c>
      <c r="L77" t="s">
        <v>28</v>
      </c>
      <c r="M77" t="s">
        <v>47</v>
      </c>
      <c r="N77" t="s">
        <v>47</v>
      </c>
      <c r="O77" t="s">
        <v>31</v>
      </c>
      <c r="P77" t="s">
        <v>198</v>
      </c>
      <c r="Q77">
        <v>0</v>
      </c>
      <c r="R77" t="s">
        <v>223</v>
      </c>
      <c r="S77" t="s">
        <v>233</v>
      </c>
      <c r="T77" t="s">
        <v>156</v>
      </c>
      <c r="U77" t="s">
        <v>238</v>
      </c>
      <c r="V77" t="s">
        <v>243</v>
      </c>
      <c r="W77">
        <v>100</v>
      </c>
      <c r="X77">
        <v>-1338375</v>
      </c>
      <c r="Y77" t="s">
        <v>48</v>
      </c>
      <c r="Z77">
        <v>8.8129999999999997E-3</v>
      </c>
      <c r="AA77">
        <v>6.6097499999999993E-3</v>
      </c>
      <c r="AC77">
        <v>11795.1</v>
      </c>
      <c r="AD77">
        <f>(Table1[[#This Row],[MtM Price]]-Table1[[#This Row],[Price]])*Table1[[#This Row],[Volume]]</f>
        <v>2948.7747187500004</v>
      </c>
      <c r="AE77" t="s">
        <v>33</v>
      </c>
    </row>
    <row r="78" spans="1:31" x14ac:dyDescent="0.3">
      <c r="A78" t="s">
        <v>114</v>
      </c>
      <c r="B78" t="s">
        <v>117</v>
      </c>
      <c r="C78" t="s">
        <v>22</v>
      </c>
      <c r="D78" t="s">
        <v>23</v>
      </c>
      <c r="E78" t="s">
        <v>42</v>
      </c>
      <c r="F78" t="s">
        <v>25</v>
      </c>
      <c r="G78" t="s">
        <v>26</v>
      </c>
      <c r="H78" t="s">
        <v>38</v>
      </c>
      <c r="I78" s="1">
        <v>45732</v>
      </c>
      <c r="J78" s="1">
        <v>45732</v>
      </c>
      <c r="K78" t="s">
        <v>210</v>
      </c>
      <c r="L78" t="s">
        <v>28</v>
      </c>
      <c r="M78" t="s">
        <v>47</v>
      </c>
      <c r="N78" t="s">
        <v>47</v>
      </c>
      <c r="O78" t="s">
        <v>31</v>
      </c>
      <c r="P78" t="s">
        <v>199</v>
      </c>
      <c r="Q78">
        <v>0</v>
      </c>
      <c r="R78" t="s">
        <v>220</v>
      </c>
      <c r="S78" t="s">
        <v>236</v>
      </c>
      <c r="T78" t="s">
        <v>156</v>
      </c>
      <c r="U78" t="s">
        <v>238</v>
      </c>
      <c r="V78" t="s">
        <v>243</v>
      </c>
      <c r="W78">
        <v>40</v>
      </c>
      <c r="X78">
        <v>32741565.199999999</v>
      </c>
      <c r="Y78" t="s">
        <v>48</v>
      </c>
      <c r="Z78">
        <v>6.3E-3</v>
      </c>
      <c r="AA78">
        <v>5.0400000000000002E-3</v>
      </c>
      <c r="AB78">
        <v>-82508.744000000006</v>
      </c>
      <c r="AD78">
        <f>(Table1[[#This Row],[MtM Price]]-Table1[[#This Row],[Price]])*Table1[[#This Row],[Volume]]</f>
        <v>-41254.372151999996</v>
      </c>
      <c r="AE78" t="s">
        <v>33</v>
      </c>
    </row>
    <row r="79" spans="1:31" x14ac:dyDescent="0.3">
      <c r="A79" t="s">
        <v>114</v>
      </c>
      <c r="B79" t="s">
        <v>117</v>
      </c>
      <c r="C79" t="s">
        <v>22</v>
      </c>
      <c r="D79" t="s">
        <v>23</v>
      </c>
      <c r="E79" t="s">
        <v>42</v>
      </c>
      <c r="F79" t="s">
        <v>25</v>
      </c>
      <c r="G79" t="s">
        <v>26</v>
      </c>
      <c r="H79" t="s">
        <v>38</v>
      </c>
      <c r="I79" s="1">
        <v>45732</v>
      </c>
      <c r="J79" s="1">
        <v>45732</v>
      </c>
      <c r="K79" t="s">
        <v>210</v>
      </c>
      <c r="L79" t="s">
        <v>28</v>
      </c>
      <c r="M79" t="s">
        <v>47</v>
      </c>
      <c r="N79" t="s">
        <v>47</v>
      </c>
      <c r="O79" t="s">
        <v>31</v>
      </c>
      <c r="P79" t="s">
        <v>199</v>
      </c>
      <c r="Q79">
        <v>0</v>
      </c>
      <c r="R79" t="s">
        <v>221</v>
      </c>
      <c r="S79" t="s">
        <v>236</v>
      </c>
      <c r="T79" t="s">
        <v>165</v>
      </c>
      <c r="U79" t="s">
        <v>238</v>
      </c>
      <c r="V79" t="s">
        <v>243</v>
      </c>
      <c r="W79">
        <v>60</v>
      </c>
      <c r="X79">
        <v>49112347.799999997</v>
      </c>
      <c r="Y79" t="s">
        <v>48</v>
      </c>
      <c r="Z79">
        <v>6.3E-3</v>
      </c>
      <c r="AA79">
        <v>5.0400000000000002E-3</v>
      </c>
      <c r="AB79">
        <v>-185644.674</v>
      </c>
      <c r="AD79">
        <f>(Table1[[#This Row],[MtM Price]]-Table1[[#This Row],[Price]])*Table1[[#This Row],[Volume]]</f>
        <v>-61881.558227999987</v>
      </c>
      <c r="AE79" t="s">
        <v>33</v>
      </c>
    </row>
    <row r="80" spans="1:31" x14ac:dyDescent="0.3">
      <c r="A80" t="s">
        <v>114</v>
      </c>
      <c r="B80" t="s">
        <v>118</v>
      </c>
      <c r="C80" t="s">
        <v>22</v>
      </c>
      <c r="D80" t="s">
        <v>23</v>
      </c>
      <c r="E80" t="s">
        <v>42</v>
      </c>
      <c r="F80" t="s">
        <v>25</v>
      </c>
      <c r="G80" t="s">
        <v>37</v>
      </c>
      <c r="H80" t="s">
        <v>38</v>
      </c>
      <c r="I80" s="1">
        <v>45732</v>
      </c>
      <c r="J80" s="1">
        <v>45732</v>
      </c>
      <c r="K80" t="s">
        <v>210</v>
      </c>
      <c r="L80" t="s">
        <v>28</v>
      </c>
      <c r="M80" t="s">
        <v>47</v>
      </c>
      <c r="N80" t="s">
        <v>47</v>
      </c>
      <c r="O80" t="s">
        <v>31</v>
      </c>
      <c r="P80" t="s">
        <v>198</v>
      </c>
      <c r="Q80">
        <v>0</v>
      </c>
      <c r="R80" t="s">
        <v>221</v>
      </c>
      <c r="S80" t="s">
        <v>233</v>
      </c>
      <c r="T80" t="s">
        <v>156</v>
      </c>
      <c r="U80" t="s">
        <v>238</v>
      </c>
      <c r="V80" t="s">
        <v>243</v>
      </c>
      <c r="W80">
        <v>40</v>
      </c>
      <c r="X80">
        <v>-32741565.199999999</v>
      </c>
      <c r="Y80" t="s">
        <v>48</v>
      </c>
      <c r="Z80">
        <v>8.7379999999999992E-3</v>
      </c>
      <c r="AA80">
        <v>9.6118000000000002E-3</v>
      </c>
      <c r="AC80">
        <v>114438.3184</v>
      </c>
      <c r="AD80">
        <f>(Table1[[#This Row],[MtM Price]]-Table1[[#This Row],[Price]])*Table1[[#This Row],[Volume]]</f>
        <v>-28609.579671760031</v>
      </c>
      <c r="AE80" t="s">
        <v>33</v>
      </c>
    </row>
    <row r="81" spans="1:31" x14ac:dyDescent="0.3">
      <c r="A81" t="s">
        <v>114</v>
      </c>
      <c r="B81" t="s">
        <v>118</v>
      </c>
      <c r="C81" t="s">
        <v>22</v>
      </c>
      <c r="D81" t="s">
        <v>23</v>
      </c>
      <c r="E81" t="s">
        <v>42</v>
      </c>
      <c r="F81" t="s">
        <v>25</v>
      </c>
      <c r="G81" t="s">
        <v>37</v>
      </c>
      <c r="H81" t="s">
        <v>38</v>
      </c>
      <c r="I81" s="1">
        <v>45732</v>
      </c>
      <c r="J81" s="1">
        <v>45732</v>
      </c>
      <c r="K81" t="s">
        <v>210</v>
      </c>
      <c r="L81" t="s">
        <v>28</v>
      </c>
      <c r="M81" t="s">
        <v>47</v>
      </c>
      <c r="N81" t="s">
        <v>47</v>
      </c>
      <c r="O81" t="s">
        <v>31</v>
      </c>
      <c r="P81" t="s">
        <v>198</v>
      </c>
      <c r="Q81">
        <v>0</v>
      </c>
      <c r="R81" t="s">
        <v>221</v>
      </c>
      <c r="S81" t="s">
        <v>233</v>
      </c>
      <c r="T81" t="s">
        <v>165</v>
      </c>
      <c r="U81" t="s">
        <v>238</v>
      </c>
      <c r="V81" t="s">
        <v>243</v>
      </c>
      <c r="W81">
        <v>60</v>
      </c>
      <c r="X81">
        <v>-49112347.799999997</v>
      </c>
      <c r="Y81" t="s">
        <v>48</v>
      </c>
      <c r="Z81">
        <v>8.7379999999999992E-3</v>
      </c>
      <c r="AA81">
        <v>9.6118000000000002E-3</v>
      </c>
      <c r="AC81">
        <v>257486.2164</v>
      </c>
      <c r="AD81">
        <f>(Table1[[#This Row],[MtM Price]]-Table1[[#This Row],[Price]])*Table1[[#This Row],[Volume]]</f>
        <v>-42914.369507640047</v>
      </c>
      <c r="AE81" t="s">
        <v>33</v>
      </c>
    </row>
    <row r="82" spans="1:31" x14ac:dyDescent="0.3">
      <c r="A82" t="s">
        <v>114</v>
      </c>
      <c r="B82" t="s">
        <v>119</v>
      </c>
      <c r="C82" t="s">
        <v>22</v>
      </c>
      <c r="D82" t="s">
        <v>23</v>
      </c>
      <c r="E82" t="s">
        <v>42</v>
      </c>
      <c r="F82" t="s">
        <v>25</v>
      </c>
      <c r="G82" t="s">
        <v>26</v>
      </c>
      <c r="H82" t="s">
        <v>38</v>
      </c>
      <c r="I82" s="1">
        <v>45848</v>
      </c>
      <c r="J82" s="1">
        <v>45848</v>
      </c>
      <c r="K82" t="s">
        <v>210</v>
      </c>
      <c r="L82" t="s">
        <v>28</v>
      </c>
      <c r="M82" t="s">
        <v>47</v>
      </c>
      <c r="N82" t="s">
        <v>47</v>
      </c>
      <c r="O82" t="s">
        <v>31</v>
      </c>
      <c r="P82" t="s">
        <v>199</v>
      </c>
      <c r="Q82">
        <v>0</v>
      </c>
      <c r="R82" t="s">
        <v>221</v>
      </c>
      <c r="S82" t="s">
        <v>236</v>
      </c>
      <c r="T82" t="s">
        <v>156</v>
      </c>
      <c r="U82" t="s">
        <v>238</v>
      </c>
      <c r="V82" t="s">
        <v>243</v>
      </c>
      <c r="W82">
        <v>40</v>
      </c>
      <c r="X82">
        <v>40000000</v>
      </c>
      <c r="Y82" t="s">
        <v>48</v>
      </c>
      <c r="Z82">
        <v>6.3E-3</v>
      </c>
      <c r="AA82">
        <v>5.0400000000000002E-3</v>
      </c>
      <c r="AB82">
        <v>-100800</v>
      </c>
      <c r="AD82">
        <f>(Table1[[#This Row],[MtM Price]]-Table1[[#This Row],[Price]])*Table1[[#This Row],[Volume]]</f>
        <v>-50399.999999999993</v>
      </c>
      <c r="AE82" t="s">
        <v>33</v>
      </c>
    </row>
    <row r="83" spans="1:31" x14ac:dyDescent="0.3">
      <c r="A83" t="s">
        <v>114</v>
      </c>
      <c r="B83" t="s">
        <v>119</v>
      </c>
      <c r="C83" t="s">
        <v>22</v>
      </c>
      <c r="D83" t="s">
        <v>23</v>
      </c>
      <c r="E83" t="s">
        <v>42</v>
      </c>
      <c r="F83" t="s">
        <v>25</v>
      </c>
      <c r="G83" t="s">
        <v>26</v>
      </c>
      <c r="H83" t="s">
        <v>38</v>
      </c>
      <c r="I83" s="1">
        <v>45848</v>
      </c>
      <c r="J83" s="1">
        <v>45848</v>
      </c>
      <c r="K83" t="s">
        <v>210</v>
      </c>
      <c r="L83" t="s">
        <v>28</v>
      </c>
      <c r="M83" t="s">
        <v>47</v>
      </c>
      <c r="N83" t="s">
        <v>47</v>
      </c>
      <c r="O83" t="s">
        <v>31</v>
      </c>
      <c r="P83" t="s">
        <v>199</v>
      </c>
      <c r="Q83">
        <v>0</v>
      </c>
      <c r="R83" t="s">
        <v>221</v>
      </c>
      <c r="S83" t="s">
        <v>236</v>
      </c>
      <c r="T83" t="s">
        <v>165</v>
      </c>
      <c r="U83" t="s">
        <v>238</v>
      </c>
      <c r="V83" t="s">
        <v>243</v>
      </c>
      <c r="W83">
        <v>60</v>
      </c>
      <c r="X83">
        <v>60000000</v>
      </c>
      <c r="Y83" t="s">
        <v>48</v>
      </c>
      <c r="Z83">
        <v>6.3E-3</v>
      </c>
      <c r="AA83">
        <v>5.0400000000000002E-3</v>
      </c>
      <c r="AB83">
        <v>-226800</v>
      </c>
      <c r="AD83">
        <f>(Table1[[#This Row],[MtM Price]]-Table1[[#This Row],[Price]])*Table1[[#This Row],[Volume]]</f>
        <v>-75599.999999999985</v>
      </c>
      <c r="AE83" t="s">
        <v>33</v>
      </c>
    </row>
    <row r="84" spans="1:31" x14ac:dyDescent="0.3">
      <c r="A84" t="s">
        <v>114</v>
      </c>
      <c r="B84" t="s">
        <v>120</v>
      </c>
      <c r="C84" t="s">
        <v>22</v>
      </c>
      <c r="D84" t="s">
        <v>23</v>
      </c>
      <c r="E84" t="s">
        <v>42</v>
      </c>
      <c r="F84" t="s">
        <v>25</v>
      </c>
      <c r="G84" t="s">
        <v>37</v>
      </c>
      <c r="H84" t="s">
        <v>38</v>
      </c>
      <c r="I84" s="1">
        <v>45848</v>
      </c>
      <c r="J84" s="1">
        <v>45848</v>
      </c>
      <c r="K84" t="s">
        <v>210</v>
      </c>
      <c r="L84" t="s">
        <v>28</v>
      </c>
      <c r="M84" t="s">
        <v>47</v>
      </c>
      <c r="N84" t="s">
        <v>47</v>
      </c>
      <c r="O84" t="s">
        <v>31</v>
      </c>
      <c r="P84" t="s">
        <v>198</v>
      </c>
      <c r="Q84">
        <v>0</v>
      </c>
      <c r="R84" t="s">
        <v>221</v>
      </c>
      <c r="S84" t="s">
        <v>233</v>
      </c>
      <c r="T84" t="s">
        <v>156</v>
      </c>
      <c r="U84" t="s">
        <v>238</v>
      </c>
      <c r="V84" t="s">
        <v>243</v>
      </c>
      <c r="W84">
        <v>40</v>
      </c>
      <c r="X84">
        <v>-40000000</v>
      </c>
      <c r="Y84" t="s">
        <v>48</v>
      </c>
      <c r="Z84">
        <v>8.5249999999999996E-3</v>
      </c>
      <c r="AA84">
        <v>6.3937500000000001E-3</v>
      </c>
      <c r="AC84">
        <v>136400</v>
      </c>
      <c r="AD84">
        <f>(Table1[[#This Row],[MtM Price]]-Table1[[#This Row],[Price]])*Table1[[#This Row],[Volume]]</f>
        <v>85249.999999999985</v>
      </c>
      <c r="AE84" t="s">
        <v>33</v>
      </c>
    </row>
    <row r="85" spans="1:31" x14ac:dyDescent="0.3">
      <c r="A85" t="s">
        <v>114</v>
      </c>
      <c r="B85" t="s">
        <v>120</v>
      </c>
      <c r="C85" t="s">
        <v>22</v>
      </c>
      <c r="D85" t="s">
        <v>23</v>
      </c>
      <c r="E85" t="s">
        <v>42</v>
      </c>
      <c r="F85" t="s">
        <v>25</v>
      </c>
      <c r="G85" t="s">
        <v>37</v>
      </c>
      <c r="H85" t="s">
        <v>38</v>
      </c>
      <c r="I85" s="1">
        <v>45848</v>
      </c>
      <c r="J85" s="1">
        <v>45848</v>
      </c>
      <c r="K85" t="s">
        <v>210</v>
      </c>
      <c r="L85" t="s">
        <v>28</v>
      </c>
      <c r="M85" t="s">
        <v>47</v>
      </c>
      <c r="N85" t="s">
        <v>47</v>
      </c>
      <c r="O85" t="s">
        <v>31</v>
      </c>
      <c r="P85" t="s">
        <v>198</v>
      </c>
      <c r="Q85">
        <v>0</v>
      </c>
      <c r="R85" t="s">
        <v>221</v>
      </c>
      <c r="S85" t="s">
        <v>233</v>
      </c>
      <c r="T85" t="s">
        <v>165</v>
      </c>
      <c r="U85" t="s">
        <v>238</v>
      </c>
      <c r="V85" t="s">
        <v>243</v>
      </c>
      <c r="W85">
        <v>60</v>
      </c>
      <c r="X85">
        <v>-60000000</v>
      </c>
      <c r="Y85" t="s">
        <v>48</v>
      </c>
      <c r="Z85">
        <v>8.5249999999999996E-3</v>
      </c>
      <c r="AA85">
        <v>6.3937500000000001E-3</v>
      </c>
      <c r="AC85">
        <v>306900</v>
      </c>
      <c r="AD85">
        <f>(Table1[[#This Row],[MtM Price]]-Table1[[#This Row],[Price]])*Table1[[#This Row],[Volume]]</f>
        <v>127874.99999999997</v>
      </c>
      <c r="AE85" t="s">
        <v>33</v>
      </c>
    </row>
    <row r="86" spans="1:31" x14ac:dyDescent="0.3">
      <c r="A86" t="s">
        <v>114</v>
      </c>
      <c r="B86" t="s">
        <v>121</v>
      </c>
      <c r="C86" t="s">
        <v>22</v>
      </c>
      <c r="D86" t="s">
        <v>23</v>
      </c>
      <c r="E86" t="s">
        <v>42</v>
      </c>
      <c r="F86" t="s">
        <v>25</v>
      </c>
      <c r="G86" t="s">
        <v>26</v>
      </c>
      <c r="H86" t="s">
        <v>38</v>
      </c>
      <c r="I86" s="1">
        <v>45824</v>
      </c>
      <c r="J86" s="1">
        <v>45824</v>
      </c>
      <c r="K86" t="s">
        <v>210</v>
      </c>
      <c r="L86" t="s">
        <v>28</v>
      </c>
      <c r="M86" t="s">
        <v>47</v>
      </c>
      <c r="N86" t="s">
        <v>47</v>
      </c>
      <c r="O86" t="s">
        <v>31</v>
      </c>
      <c r="P86" t="s">
        <v>199</v>
      </c>
      <c r="Q86">
        <v>0</v>
      </c>
      <c r="R86" t="s">
        <v>217</v>
      </c>
      <c r="S86" t="s">
        <v>236</v>
      </c>
      <c r="T86" t="s">
        <v>156</v>
      </c>
      <c r="U86" t="s">
        <v>238</v>
      </c>
      <c r="V86" t="s">
        <v>243</v>
      </c>
      <c r="W86">
        <v>40</v>
      </c>
      <c r="X86">
        <v>48000000</v>
      </c>
      <c r="Y86" t="s">
        <v>48</v>
      </c>
      <c r="Z86">
        <v>6.3E-3</v>
      </c>
      <c r="AA86">
        <v>5.0400000000000002E-3</v>
      </c>
      <c r="AB86">
        <v>-120960</v>
      </c>
      <c r="AD86">
        <f>(Table1[[#This Row],[MtM Price]]-Table1[[#This Row],[Price]])*Table1[[#This Row],[Volume]]</f>
        <v>-60479.999999999993</v>
      </c>
      <c r="AE86" t="s">
        <v>33</v>
      </c>
    </row>
    <row r="87" spans="1:31" x14ac:dyDescent="0.3">
      <c r="A87" t="s">
        <v>114</v>
      </c>
      <c r="B87" t="s">
        <v>121</v>
      </c>
      <c r="C87" t="s">
        <v>22</v>
      </c>
      <c r="D87" t="s">
        <v>23</v>
      </c>
      <c r="E87" t="s">
        <v>42</v>
      </c>
      <c r="F87" t="s">
        <v>25</v>
      </c>
      <c r="G87" t="s">
        <v>26</v>
      </c>
      <c r="H87" t="s">
        <v>38</v>
      </c>
      <c r="I87" s="1">
        <v>45824</v>
      </c>
      <c r="J87" s="1">
        <v>45824</v>
      </c>
      <c r="K87" t="s">
        <v>210</v>
      </c>
      <c r="L87" t="s">
        <v>28</v>
      </c>
      <c r="M87" t="s">
        <v>47</v>
      </c>
      <c r="N87" t="s">
        <v>47</v>
      </c>
      <c r="O87" t="s">
        <v>31</v>
      </c>
      <c r="P87" t="s">
        <v>199</v>
      </c>
      <c r="Q87">
        <v>0</v>
      </c>
      <c r="R87" t="s">
        <v>217</v>
      </c>
      <c r="S87" t="s">
        <v>236</v>
      </c>
      <c r="T87" t="s">
        <v>165</v>
      </c>
      <c r="U87" t="s">
        <v>238</v>
      </c>
      <c r="V87" t="s">
        <v>243</v>
      </c>
      <c r="W87">
        <v>60</v>
      </c>
      <c r="X87">
        <v>72000000</v>
      </c>
      <c r="Y87" t="s">
        <v>48</v>
      </c>
      <c r="Z87">
        <v>6.3E-3</v>
      </c>
      <c r="AA87">
        <v>5.0400000000000002E-3</v>
      </c>
      <c r="AB87">
        <v>-272160</v>
      </c>
      <c r="AD87">
        <f>(Table1[[#This Row],[MtM Price]]-Table1[[#This Row],[Price]])*Table1[[#This Row],[Volume]]</f>
        <v>-90719.999999999985</v>
      </c>
      <c r="AE87" t="s">
        <v>33</v>
      </c>
    </row>
    <row r="88" spans="1:31" x14ac:dyDescent="0.3">
      <c r="A88" t="s">
        <v>114</v>
      </c>
      <c r="B88" t="s">
        <v>122</v>
      </c>
      <c r="C88" t="s">
        <v>22</v>
      </c>
      <c r="D88" t="s">
        <v>23</v>
      </c>
      <c r="E88" t="s">
        <v>42</v>
      </c>
      <c r="F88" t="s">
        <v>25</v>
      </c>
      <c r="G88" t="s">
        <v>37</v>
      </c>
      <c r="H88" t="s">
        <v>38</v>
      </c>
      <c r="I88" s="1">
        <v>45824</v>
      </c>
      <c r="J88" s="1">
        <v>45824</v>
      </c>
      <c r="K88" t="s">
        <v>210</v>
      </c>
      <c r="L88" t="s">
        <v>28</v>
      </c>
      <c r="M88" t="s">
        <v>47</v>
      </c>
      <c r="N88" t="s">
        <v>47</v>
      </c>
      <c r="O88" t="s">
        <v>31</v>
      </c>
      <c r="P88" t="s">
        <v>198</v>
      </c>
      <c r="Q88">
        <v>0</v>
      </c>
      <c r="R88" t="s">
        <v>217</v>
      </c>
      <c r="S88" t="s">
        <v>233</v>
      </c>
      <c r="T88" t="s">
        <v>156</v>
      </c>
      <c r="U88" t="s">
        <v>238</v>
      </c>
      <c r="V88" t="s">
        <v>243</v>
      </c>
      <c r="W88">
        <v>40</v>
      </c>
      <c r="X88">
        <v>-48000000</v>
      </c>
      <c r="Y88" t="s">
        <v>48</v>
      </c>
      <c r="Z88">
        <v>8.0999999999999996E-3</v>
      </c>
      <c r="AA88">
        <v>6.0749999999999997E-3</v>
      </c>
      <c r="AC88">
        <v>155520</v>
      </c>
      <c r="AD88">
        <f>(Table1[[#This Row],[MtM Price]]-Table1[[#This Row],[Price]])*Table1[[#This Row],[Volume]]</f>
        <v>97200</v>
      </c>
      <c r="AE88" t="s">
        <v>33</v>
      </c>
    </row>
    <row r="89" spans="1:31" x14ac:dyDescent="0.3">
      <c r="A89" t="s">
        <v>114</v>
      </c>
      <c r="B89" t="s">
        <v>122</v>
      </c>
      <c r="C89" t="s">
        <v>22</v>
      </c>
      <c r="D89" t="s">
        <v>23</v>
      </c>
      <c r="E89" t="s">
        <v>42</v>
      </c>
      <c r="F89" t="s">
        <v>25</v>
      </c>
      <c r="G89" t="s">
        <v>37</v>
      </c>
      <c r="H89" t="s">
        <v>38</v>
      </c>
      <c r="I89" s="1">
        <v>45824</v>
      </c>
      <c r="J89" s="1">
        <v>45824</v>
      </c>
      <c r="K89" t="s">
        <v>210</v>
      </c>
      <c r="L89" t="s">
        <v>28</v>
      </c>
      <c r="M89" t="s">
        <v>47</v>
      </c>
      <c r="N89" t="s">
        <v>47</v>
      </c>
      <c r="O89" t="s">
        <v>31</v>
      </c>
      <c r="P89" t="s">
        <v>198</v>
      </c>
      <c r="Q89">
        <v>0</v>
      </c>
      <c r="R89" t="s">
        <v>217</v>
      </c>
      <c r="S89" t="s">
        <v>233</v>
      </c>
      <c r="T89" t="s">
        <v>165</v>
      </c>
      <c r="U89" t="s">
        <v>238</v>
      </c>
      <c r="V89" t="s">
        <v>243</v>
      </c>
      <c r="W89">
        <v>60</v>
      </c>
      <c r="X89">
        <v>-72000000</v>
      </c>
      <c r="Y89" t="s">
        <v>48</v>
      </c>
      <c r="Z89">
        <v>8.0999999999999996E-3</v>
      </c>
      <c r="AA89">
        <v>6.0749999999999997E-3</v>
      </c>
      <c r="AC89">
        <v>349920</v>
      </c>
      <c r="AD89">
        <f>(Table1[[#This Row],[MtM Price]]-Table1[[#This Row],[Price]])*Table1[[#This Row],[Volume]]</f>
        <v>145800</v>
      </c>
      <c r="AE89" t="s">
        <v>33</v>
      </c>
    </row>
    <row r="90" spans="1:31" x14ac:dyDescent="0.3">
      <c r="A90" t="s">
        <v>114</v>
      </c>
      <c r="B90" t="s">
        <v>123</v>
      </c>
      <c r="C90" t="s">
        <v>22</v>
      </c>
      <c r="D90" t="s">
        <v>23</v>
      </c>
      <c r="E90" t="s">
        <v>42</v>
      </c>
      <c r="F90" t="s">
        <v>25</v>
      </c>
      <c r="G90" t="s">
        <v>26</v>
      </c>
      <c r="H90" t="s">
        <v>38</v>
      </c>
      <c r="I90" s="1">
        <v>45824</v>
      </c>
      <c r="J90" s="1">
        <v>45824</v>
      </c>
      <c r="K90" t="s">
        <v>210</v>
      </c>
      <c r="L90" t="s">
        <v>28</v>
      </c>
      <c r="M90" t="s">
        <v>47</v>
      </c>
      <c r="N90" t="s">
        <v>47</v>
      </c>
      <c r="O90" t="s">
        <v>31</v>
      </c>
      <c r="P90" t="s">
        <v>199</v>
      </c>
      <c r="Q90">
        <v>0</v>
      </c>
      <c r="R90" t="s">
        <v>217</v>
      </c>
      <c r="S90" t="s">
        <v>236</v>
      </c>
      <c r="T90" t="s">
        <v>156</v>
      </c>
      <c r="U90" t="s">
        <v>238</v>
      </c>
      <c r="V90" t="s">
        <v>243</v>
      </c>
      <c r="W90">
        <v>40</v>
      </c>
      <c r="X90">
        <v>48866434.799999997</v>
      </c>
      <c r="Y90" t="s">
        <v>48</v>
      </c>
      <c r="Z90">
        <v>6.3E-3</v>
      </c>
      <c r="AA90">
        <v>5.0400000000000002E-3</v>
      </c>
      <c r="AB90">
        <v>-123143.416</v>
      </c>
      <c r="AD90">
        <f>(Table1[[#This Row],[MtM Price]]-Table1[[#This Row],[Price]])*Table1[[#This Row],[Volume]]</f>
        <v>-61571.707847999991</v>
      </c>
      <c r="AE90" t="s">
        <v>33</v>
      </c>
    </row>
    <row r="91" spans="1:31" x14ac:dyDescent="0.3">
      <c r="A91" t="s">
        <v>114</v>
      </c>
      <c r="B91" t="s">
        <v>123</v>
      </c>
      <c r="C91" t="s">
        <v>22</v>
      </c>
      <c r="D91" t="s">
        <v>23</v>
      </c>
      <c r="E91" t="s">
        <v>42</v>
      </c>
      <c r="F91" t="s">
        <v>25</v>
      </c>
      <c r="G91" t="s">
        <v>26</v>
      </c>
      <c r="H91" t="s">
        <v>38</v>
      </c>
      <c r="I91" s="1">
        <v>45824</v>
      </c>
      <c r="J91" s="1">
        <v>45824</v>
      </c>
      <c r="K91" t="s">
        <v>210</v>
      </c>
      <c r="L91" t="s">
        <v>28</v>
      </c>
      <c r="M91" t="s">
        <v>47</v>
      </c>
      <c r="N91" t="s">
        <v>47</v>
      </c>
      <c r="O91" t="s">
        <v>31</v>
      </c>
      <c r="P91" t="s">
        <v>199</v>
      </c>
      <c r="Q91">
        <v>0</v>
      </c>
      <c r="R91" t="s">
        <v>217</v>
      </c>
      <c r="S91" t="s">
        <v>236</v>
      </c>
      <c r="T91" t="s">
        <v>165</v>
      </c>
      <c r="U91" t="s">
        <v>238</v>
      </c>
      <c r="V91" t="s">
        <v>243</v>
      </c>
      <c r="W91">
        <v>60</v>
      </c>
      <c r="X91">
        <v>73299652.200000003</v>
      </c>
      <c r="Y91" t="s">
        <v>48</v>
      </c>
      <c r="Z91">
        <v>6.3E-3</v>
      </c>
      <c r="AA91">
        <v>5.0400000000000002E-3</v>
      </c>
      <c r="AB91">
        <v>-277072.68599999999</v>
      </c>
      <c r="AD91">
        <f>(Table1[[#This Row],[MtM Price]]-Table1[[#This Row],[Price]])*Table1[[#This Row],[Volume]]</f>
        <v>-92357.561771999986</v>
      </c>
      <c r="AE91" t="s">
        <v>33</v>
      </c>
    </row>
    <row r="92" spans="1:31" x14ac:dyDescent="0.3">
      <c r="A92" t="s">
        <v>114</v>
      </c>
      <c r="B92" t="s">
        <v>124</v>
      </c>
      <c r="C92" t="s">
        <v>22</v>
      </c>
      <c r="D92" t="s">
        <v>23</v>
      </c>
      <c r="E92" t="s">
        <v>42</v>
      </c>
      <c r="F92" t="s">
        <v>25</v>
      </c>
      <c r="G92" t="s">
        <v>37</v>
      </c>
      <c r="H92" t="s">
        <v>38</v>
      </c>
      <c r="I92" s="1">
        <v>45824</v>
      </c>
      <c r="J92" s="1">
        <v>45824</v>
      </c>
      <c r="K92" t="s">
        <v>210</v>
      </c>
      <c r="L92" t="s">
        <v>28</v>
      </c>
      <c r="M92" t="s">
        <v>47</v>
      </c>
      <c r="N92" t="s">
        <v>47</v>
      </c>
      <c r="O92" t="s">
        <v>31</v>
      </c>
      <c r="P92" t="s">
        <v>198</v>
      </c>
      <c r="Q92">
        <v>0</v>
      </c>
      <c r="R92" t="s">
        <v>217</v>
      </c>
      <c r="S92" t="s">
        <v>233</v>
      </c>
      <c r="T92" t="s">
        <v>156</v>
      </c>
      <c r="U92" t="s">
        <v>238</v>
      </c>
      <c r="V92" t="s">
        <v>243</v>
      </c>
      <c r="W92">
        <v>40</v>
      </c>
      <c r="X92">
        <v>-48866434.799999997</v>
      </c>
      <c r="Y92" t="s">
        <v>48</v>
      </c>
      <c r="Z92">
        <v>8.0149999999999996E-3</v>
      </c>
      <c r="AA92">
        <v>6.0112499999999992E-3</v>
      </c>
      <c r="AC92">
        <v>156665.7904</v>
      </c>
      <c r="AD92">
        <f>(Table1[[#This Row],[MtM Price]]-Table1[[#This Row],[Price]])*Table1[[#This Row],[Volume]]</f>
        <v>97916.118730500006</v>
      </c>
      <c r="AE92" t="s">
        <v>33</v>
      </c>
    </row>
    <row r="93" spans="1:31" x14ac:dyDescent="0.3">
      <c r="A93" t="s">
        <v>114</v>
      </c>
      <c r="B93" t="s">
        <v>124</v>
      </c>
      <c r="C93" t="s">
        <v>22</v>
      </c>
      <c r="D93" t="s">
        <v>23</v>
      </c>
      <c r="E93" t="s">
        <v>42</v>
      </c>
      <c r="F93" t="s">
        <v>25</v>
      </c>
      <c r="G93" t="s">
        <v>37</v>
      </c>
      <c r="H93" t="s">
        <v>38</v>
      </c>
      <c r="I93" s="1">
        <v>45824</v>
      </c>
      <c r="J93" s="1">
        <v>45824</v>
      </c>
      <c r="K93" t="s">
        <v>210</v>
      </c>
      <c r="L93" t="s">
        <v>28</v>
      </c>
      <c r="M93" t="s">
        <v>47</v>
      </c>
      <c r="N93" t="s">
        <v>47</v>
      </c>
      <c r="O93" t="s">
        <v>31</v>
      </c>
      <c r="P93" t="s">
        <v>198</v>
      </c>
      <c r="Q93">
        <v>0</v>
      </c>
      <c r="R93" t="s">
        <v>218</v>
      </c>
      <c r="S93" t="s">
        <v>233</v>
      </c>
      <c r="T93" t="s">
        <v>165</v>
      </c>
      <c r="U93" t="s">
        <v>238</v>
      </c>
      <c r="V93" t="s">
        <v>243</v>
      </c>
      <c r="W93">
        <v>60</v>
      </c>
      <c r="X93">
        <v>-73299652.200000003</v>
      </c>
      <c r="Y93" t="s">
        <v>48</v>
      </c>
      <c r="Z93">
        <v>8.0149999999999996E-3</v>
      </c>
      <c r="AA93">
        <v>6.0112499999999992E-3</v>
      </c>
      <c r="AC93">
        <v>352498.02840000001</v>
      </c>
      <c r="AD93">
        <f>(Table1[[#This Row],[MtM Price]]-Table1[[#This Row],[Price]])*Table1[[#This Row],[Volume]]</f>
        <v>146874.17809575002</v>
      </c>
      <c r="AE93" t="s">
        <v>33</v>
      </c>
    </row>
    <row r="94" spans="1:31" x14ac:dyDescent="0.3">
      <c r="A94" t="s">
        <v>114</v>
      </c>
      <c r="B94" t="s">
        <v>125</v>
      </c>
      <c r="C94" t="s">
        <v>22</v>
      </c>
      <c r="D94" t="s">
        <v>23</v>
      </c>
      <c r="E94" t="s">
        <v>42</v>
      </c>
      <c r="F94" t="s">
        <v>25</v>
      </c>
      <c r="G94" t="s">
        <v>26</v>
      </c>
      <c r="H94" t="s">
        <v>38</v>
      </c>
      <c r="I94" s="1">
        <v>45861</v>
      </c>
      <c r="J94" s="1">
        <v>45861</v>
      </c>
      <c r="K94" t="s">
        <v>210</v>
      </c>
      <c r="L94" t="s">
        <v>28</v>
      </c>
      <c r="M94" t="s">
        <v>47</v>
      </c>
      <c r="N94" t="s">
        <v>47</v>
      </c>
      <c r="O94" t="s">
        <v>31</v>
      </c>
      <c r="P94" t="s">
        <v>200</v>
      </c>
      <c r="Q94">
        <v>0</v>
      </c>
      <c r="R94" t="s">
        <v>218</v>
      </c>
      <c r="S94" t="s">
        <v>233</v>
      </c>
      <c r="T94" t="s">
        <v>156</v>
      </c>
      <c r="U94" t="s">
        <v>238</v>
      </c>
      <c r="V94" t="s">
        <v>243</v>
      </c>
      <c r="W94">
        <v>100</v>
      </c>
      <c r="X94">
        <v>740000000</v>
      </c>
      <c r="Y94" t="s">
        <v>48</v>
      </c>
      <c r="Z94">
        <v>7.6E-3</v>
      </c>
      <c r="AA94">
        <v>6.0800000000000003E-3</v>
      </c>
      <c r="AB94">
        <v>-5624000</v>
      </c>
      <c r="AD94">
        <f>(Table1[[#This Row],[MtM Price]]-Table1[[#This Row],[Price]])*Table1[[#This Row],[Volume]]</f>
        <v>-1124799.9999999998</v>
      </c>
      <c r="AE94" t="s">
        <v>33</v>
      </c>
    </row>
    <row r="95" spans="1:31" x14ac:dyDescent="0.3">
      <c r="A95" t="s">
        <v>114</v>
      </c>
      <c r="B95" t="s">
        <v>126</v>
      </c>
      <c r="C95" t="s">
        <v>22</v>
      </c>
      <c r="D95" t="s">
        <v>23</v>
      </c>
      <c r="E95" t="s">
        <v>42</v>
      </c>
      <c r="F95" t="s">
        <v>25</v>
      </c>
      <c r="G95" t="s">
        <v>37</v>
      </c>
      <c r="H95" t="s">
        <v>38</v>
      </c>
      <c r="I95" s="1">
        <v>45861</v>
      </c>
      <c r="J95" s="1">
        <v>45861</v>
      </c>
      <c r="K95" t="s">
        <v>210</v>
      </c>
      <c r="L95" t="s">
        <v>28</v>
      </c>
      <c r="M95" t="s">
        <v>47</v>
      </c>
      <c r="N95" t="s">
        <v>47</v>
      </c>
      <c r="O95" t="s">
        <v>31</v>
      </c>
      <c r="P95" t="s">
        <v>198</v>
      </c>
      <c r="Q95">
        <v>0</v>
      </c>
      <c r="R95" t="s">
        <v>218</v>
      </c>
      <c r="S95" t="s">
        <v>233</v>
      </c>
      <c r="T95" t="s">
        <v>156</v>
      </c>
      <c r="U95" t="s">
        <v>238</v>
      </c>
      <c r="V95" t="s">
        <v>243</v>
      </c>
      <c r="W95">
        <v>100</v>
      </c>
      <c r="X95">
        <v>-740000000</v>
      </c>
      <c r="Y95" t="s">
        <v>48</v>
      </c>
      <c r="Z95">
        <v>8.1670000000000006E-3</v>
      </c>
      <c r="AA95">
        <v>6.1252500000000005E-3</v>
      </c>
      <c r="AC95">
        <v>6043580</v>
      </c>
      <c r="AD95">
        <f>(Table1[[#This Row],[MtM Price]]-Table1[[#This Row],[Price]])*Table1[[#This Row],[Volume]]</f>
        <v>1510895.0000000002</v>
      </c>
      <c r="AE95" t="s">
        <v>33</v>
      </c>
    </row>
    <row r="96" spans="1:31" x14ac:dyDescent="0.3">
      <c r="A96" t="s">
        <v>127</v>
      </c>
      <c r="B96" t="s">
        <v>128</v>
      </c>
      <c r="C96" t="s">
        <v>22</v>
      </c>
      <c r="D96" t="s">
        <v>129</v>
      </c>
      <c r="E96" t="s">
        <v>35</v>
      </c>
      <c r="F96" t="s">
        <v>25</v>
      </c>
      <c r="G96" t="s">
        <v>26</v>
      </c>
      <c r="H96" t="s">
        <v>27</v>
      </c>
      <c r="I96" s="1">
        <v>45294</v>
      </c>
      <c r="J96" s="1">
        <v>45294</v>
      </c>
      <c r="K96" t="s">
        <v>201</v>
      </c>
      <c r="L96" t="s">
        <v>28</v>
      </c>
      <c r="M96" t="s">
        <v>29</v>
      </c>
      <c r="N96" t="s">
        <v>30</v>
      </c>
      <c r="O96" t="s">
        <v>31</v>
      </c>
      <c r="P96" t="s">
        <v>181</v>
      </c>
      <c r="Q96">
        <v>0</v>
      </c>
      <c r="R96" t="s">
        <v>227</v>
      </c>
      <c r="S96" t="s">
        <v>232</v>
      </c>
      <c r="T96" t="s">
        <v>144</v>
      </c>
      <c r="U96" t="s">
        <v>238</v>
      </c>
      <c r="V96" t="s">
        <v>240</v>
      </c>
      <c r="W96">
        <v>100</v>
      </c>
      <c r="X96">
        <v>76000</v>
      </c>
      <c r="Y96" t="s">
        <v>32</v>
      </c>
      <c r="Z96">
        <v>7.84</v>
      </c>
      <c r="AA96">
        <v>8.2319999999999993</v>
      </c>
      <c r="AB96">
        <v>-595840</v>
      </c>
      <c r="AD96">
        <f>(Table1[[#This Row],[MtM Price]]-Table1[[#This Row],[Price]])*Table1[[#This Row],[Volume]]</f>
        <v>29791.99999999996</v>
      </c>
      <c r="AE96" t="s">
        <v>33</v>
      </c>
    </row>
    <row r="97" spans="1:31" x14ac:dyDescent="0.3">
      <c r="A97" t="s">
        <v>127</v>
      </c>
      <c r="B97" t="s">
        <v>130</v>
      </c>
      <c r="C97" t="s">
        <v>22</v>
      </c>
      <c r="D97" t="s">
        <v>129</v>
      </c>
      <c r="E97" t="s">
        <v>24</v>
      </c>
      <c r="F97" t="s">
        <v>25</v>
      </c>
      <c r="G97" t="s">
        <v>26</v>
      </c>
      <c r="H97" t="s">
        <v>27</v>
      </c>
      <c r="I97" s="1">
        <v>45294</v>
      </c>
      <c r="J97" s="1">
        <v>45294</v>
      </c>
      <c r="K97" t="s">
        <v>201</v>
      </c>
      <c r="L97" t="s">
        <v>28</v>
      </c>
      <c r="M97" t="s">
        <v>29</v>
      </c>
      <c r="N97" t="s">
        <v>30</v>
      </c>
      <c r="O97" t="s">
        <v>31</v>
      </c>
      <c r="P97" t="s">
        <v>181</v>
      </c>
      <c r="Q97">
        <v>0</v>
      </c>
      <c r="R97" t="s">
        <v>227</v>
      </c>
      <c r="S97" t="s">
        <v>232</v>
      </c>
      <c r="T97" t="s">
        <v>144</v>
      </c>
      <c r="U97" t="s">
        <v>238</v>
      </c>
      <c r="V97" t="s">
        <v>240</v>
      </c>
      <c r="W97">
        <v>100</v>
      </c>
      <c r="X97">
        <v>3000</v>
      </c>
      <c r="Y97" t="s">
        <v>32</v>
      </c>
      <c r="Z97">
        <v>7.74</v>
      </c>
      <c r="AA97">
        <v>8.1270000000000007</v>
      </c>
      <c r="AB97">
        <v>-23220</v>
      </c>
      <c r="AD97">
        <f>(Table1[[#This Row],[MtM Price]]-Table1[[#This Row],[Price]])*Table1[[#This Row],[Volume]]</f>
        <v>1161.0000000000014</v>
      </c>
      <c r="AE97" t="s">
        <v>33</v>
      </c>
    </row>
    <row r="98" spans="1:31" x14ac:dyDescent="0.3">
      <c r="A98" t="s">
        <v>127</v>
      </c>
      <c r="B98" t="s">
        <v>131</v>
      </c>
      <c r="C98" t="s">
        <v>22</v>
      </c>
      <c r="D98" t="s">
        <v>129</v>
      </c>
      <c r="E98" t="s">
        <v>24</v>
      </c>
      <c r="F98" t="s">
        <v>25</v>
      </c>
      <c r="G98" t="s">
        <v>26</v>
      </c>
      <c r="H98" t="s">
        <v>27</v>
      </c>
      <c r="I98" s="1">
        <v>45294</v>
      </c>
      <c r="J98" s="1">
        <v>45294</v>
      </c>
      <c r="K98" t="s">
        <v>201</v>
      </c>
      <c r="L98" t="s">
        <v>28</v>
      </c>
      <c r="M98" t="s">
        <v>29</v>
      </c>
      <c r="N98" t="s">
        <v>30</v>
      </c>
      <c r="O98" t="s">
        <v>31</v>
      </c>
      <c r="P98" t="s">
        <v>181</v>
      </c>
      <c r="Q98">
        <v>0</v>
      </c>
      <c r="R98" t="s">
        <v>227</v>
      </c>
      <c r="S98" t="s">
        <v>232</v>
      </c>
      <c r="T98" t="s">
        <v>144</v>
      </c>
      <c r="U98" t="s">
        <v>238</v>
      </c>
      <c r="V98" t="s">
        <v>240</v>
      </c>
      <c r="W98">
        <v>100</v>
      </c>
      <c r="X98">
        <v>2000</v>
      </c>
      <c r="Y98" t="s">
        <v>32</v>
      </c>
      <c r="Z98">
        <v>7.74</v>
      </c>
      <c r="AA98">
        <v>8.1270000000000007</v>
      </c>
      <c r="AB98">
        <v>-15480</v>
      </c>
      <c r="AD98">
        <f>(Table1[[#This Row],[MtM Price]]-Table1[[#This Row],[Price]])*Table1[[#This Row],[Volume]]</f>
        <v>774.00000000000091</v>
      </c>
      <c r="AE98" t="s">
        <v>33</v>
      </c>
    </row>
    <row r="99" spans="1:31" x14ac:dyDescent="0.3">
      <c r="A99" t="s">
        <v>127</v>
      </c>
      <c r="B99" t="s">
        <v>132</v>
      </c>
      <c r="C99" t="s">
        <v>22</v>
      </c>
      <c r="D99" t="s">
        <v>129</v>
      </c>
      <c r="E99" t="s">
        <v>24</v>
      </c>
      <c r="F99" t="s">
        <v>25</v>
      </c>
      <c r="G99" t="s">
        <v>37</v>
      </c>
      <c r="H99" t="s">
        <v>27</v>
      </c>
      <c r="I99" s="1">
        <v>45299</v>
      </c>
      <c r="J99" s="1">
        <v>45299</v>
      </c>
      <c r="K99" t="s">
        <v>201</v>
      </c>
      <c r="L99" t="s">
        <v>28</v>
      </c>
      <c r="M99" t="s">
        <v>29</v>
      </c>
      <c r="N99" t="s">
        <v>30</v>
      </c>
      <c r="O99" t="s">
        <v>31</v>
      </c>
      <c r="P99" t="s">
        <v>181</v>
      </c>
      <c r="Q99">
        <v>0</v>
      </c>
      <c r="R99" t="s">
        <v>227</v>
      </c>
      <c r="S99" t="s">
        <v>232</v>
      </c>
      <c r="T99" t="s">
        <v>144</v>
      </c>
      <c r="U99" t="s">
        <v>238</v>
      </c>
      <c r="V99" t="s">
        <v>240</v>
      </c>
      <c r="W99">
        <v>100</v>
      </c>
      <c r="X99">
        <v>-10000</v>
      </c>
      <c r="Y99" t="s">
        <v>32</v>
      </c>
      <c r="Z99">
        <v>7.78</v>
      </c>
      <c r="AA99">
        <v>7.391</v>
      </c>
      <c r="AC99">
        <v>77800</v>
      </c>
      <c r="AD99">
        <f>(Table1[[#This Row],[MtM Price]]-Table1[[#This Row],[Price]])*Table1[[#This Row],[Volume]]</f>
        <v>3890.0000000000023</v>
      </c>
      <c r="AE99" t="s">
        <v>33</v>
      </c>
    </row>
    <row r="100" spans="1:31" x14ac:dyDescent="0.3">
      <c r="A100" t="s">
        <v>127</v>
      </c>
      <c r="B100" t="s">
        <v>133</v>
      </c>
      <c r="C100" t="s">
        <v>22</v>
      </c>
      <c r="D100" t="s">
        <v>129</v>
      </c>
      <c r="E100" t="s">
        <v>24</v>
      </c>
      <c r="F100" t="s">
        <v>25</v>
      </c>
      <c r="G100" t="s">
        <v>37</v>
      </c>
      <c r="H100" t="s">
        <v>27</v>
      </c>
      <c r="I100" s="1">
        <v>45299</v>
      </c>
      <c r="J100" s="1"/>
      <c r="K100" t="s">
        <v>201</v>
      </c>
      <c r="L100" t="s">
        <v>28</v>
      </c>
      <c r="M100" t="s">
        <v>29</v>
      </c>
      <c r="N100" t="s">
        <v>30</v>
      </c>
      <c r="O100" t="s">
        <v>31</v>
      </c>
      <c r="P100" t="s">
        <v>181</v>
      </c>
      <c r="Q100">
        <v>0</v>
      </c>
      <c r="R100" t="s">
        <v>216</v>
      </c>
      <c r="S100" t="s">
        <v>232</v>
      </c>
      <c r="T100" t="s">
        <v>144</v>
      </c>
      <c r="U100" t="s">
        <v>238</v>
      </c>
      <c r="V100" t="s">
        <v>240</v>
      </c>
      <c r="W100">
        <v>0</v>
      </c>
      <c r="X100">
        <v>-1000</v>
      </c>
      <c r="Y100" t="s">
        <v>32</v>
      </c>
      <c r="Z100">
        <v>7.78</v>
      </c>
      <c r="AA100">
        <v>7.391</v>
      </c>
      <c r="AC100">
        <v>7780</v>
      </c>
      <c r="AD100">
        <f>(Table1[[#This Row],[MtM Price]]-Table1[[#This Row],[Price]])*Table1[[#This Row],[Volume]]</f>
        <v>389.00000000000023</v>
      </c>
      <c r="AE100" t="s">
        <v>33</v>
      </c>
    </row>
    <row r="101" spans="1:31" x14ac:dyDescent="0.3">
      <c r="A101" t="s">
        <v>127</v>
      </c>
      <c r="B101" t="s">
        <v>134</v>
      </c>
      <c r="C101" t="s">
        <v>22</v>
      </c>
      <c r="D101" t="s">
        <v>129</v>
      </c>
      <c r="E101" t="s">
        <v>24</v>
      </c>
      <c r="F101" t="s">
        <v>25</v>
      </c>
      <c r="G101" t="s">
        <v>37</v>
      </c>
      <c r="H101" t="s">
        <v>27</v>
      </c>
      <c r="I101" s="1">
        <v>45294</v>
      </c>
      <c r="J101" s="1">
        <v>45294</v>
      </c>
      <c r="K101" t="s">
        <v>201</v>
      </c>
      <c r="L101" t="s">
        <v>28</v>
      </c>
      <c r="M101" t="s">
        <v>29</v>
      </c>
      <c r="N101" t="s">
        <v>30</v>
      </c>
      <c r="O101" t="s">
        <v>31</v>
      </c>
      <c r="P101" t="s">
        <v>181</v>
      </c>
      <c r="Q101">
        <v>0</v>
      </c>
      <c r="R101" t="s">
        <v>213</v>
      </c>
      <c r="S101" t="s">
        <v>232</v>
      </c>
      <c r="T101" t="s">
        <v>144</v>
      </c>
      <c r="U101" t="s">
        <v>238</v>
      </c>
      <c r="V101" t="s">
        <v>240</v>
      </c>
      <c r="W101">
        <v>100</v>
      </c>
      <c r="X101">
        <v>-2000</v>
      </c>
      <c r="Y101" t="s">
        <v>32</v>
      </c>
      <c r="Z101">
        <v>7.78</v>
      </c>
      <c r="AA101">
        <v>7.391</v>
      </c>
      <c r="AC101">
        <v>15560</v>
      </c>
      <c r="AD101">
        <f>(Table1[[#This Row],[MtM Price]]-Table1[[#This Row],[Price]])*Table1[[#This Row],[Volume]]</f>
        <v>778.00000000000045</v>
      </c>
      <c r="AE101" t="s">
        <v>33</v>
      </c>
    </row>
    <row r="102" spans="1:31" x14ac:dyDescent="0.3">
      <c r="A102" t="s">
        <v>127</v>
      </c>
      <c r="B102" t="s">
        <v>135</v>
      </c>
      <c r="C102" t="s">
        <v>22</v>
      </c>
      <c r="D102" t="s">
        <v>129</v>
      </c>
      <c r="E102" t="s">
        <v>24</v>
      </c>
      <c r="F102" t="s">
        <v>25</v>
      </c>
      <c r="G102" t="s">
        <v>37</v>
      </c>
      <c r="H102" t="s">
        <v>27</v>
      </c>
      <c r="I102" s="1">
        <v>45294</v>
      </c>
      <c r="J102" s="1">
        <v>45294</v>
      </c>
      <c r="K102" t="s">
        <v>201</v>
      </c>
      <c r="L102" t="s">
        <v>28</v>
      </c>
      <c r="M102" t="s">
        <v>29</v>
      </c>
      <c r="N102" t="s">
        <v>30</v>
      </c>
      <c r="O102" t="s">
        <v>31</v>
      </c>
      <c r="P102" t="s">
        <v>181</v>
      </c>
      <c r="Q102">
        <v>0</v>
      </c>
      <c r="R102" t="s">
        <v>213</v>
      </c>
      <c r="S102" t="s">
        <v>232</v>
      </c>
      <c r="T102" t="s">
        <v>144</v>
      </c>
      <c r="U102" t="s">
        <v>238</v>
      </c>
      <c r="V102" t="s">
        <v>240</v>
      </c>
      <c r="W102">
        <v>100</v>
      </c>
      <c r="X102">
        <v>-9000</v>
      </c>
      <c r="Y102" t="s">
        <v>32</v>
      </c>
      <c r="Z102">
        <v>7.86</v>
      </c>
      <c r="AA102">
        <v>7.4669999999999996</v>
      </c>
      <c r="AC102">
        <v>70740</v>
      </c>
      <c r="AD102">
        <f>(Table1[[#This Row],[MtM Price]]-Table1[[#This Row],[Price]])*Table1[[#This Row],[Volume]]</f>
        <v>3537.0000000000064</v>
      </c>
      <c r="AE102" t="s">
        <v>33</v>
      </c>
    </row>
    <row r="103" spans="1:31" x14ac:dyDescent="0.3">
      <c r="A103" t="s">
        <v>127</v>
      </c>
      <c r="B103" t="s">
        <v>136</v>
      </c>
      <c r="C103" t="s">
        <v>22</v>
      </c>
      <c r="D103" t="s">
        <v>129</v>
      </c>
      <c r="E103" t="s">
        <v>24</v>
      </c>
      <c r="F103" t="s">
        <v>25</v>
      </c>
      <c r="G103" t="s">
        <v>37</v>
      </c>
      <c r="H103" t="s">
        <v>27</v>
      </c>
      <c r="I103" s="1">
        <v>45294</v>
      </c>
      <c r="J103" s="1"/>
      <c r="K103" t="s">
        <v>201</v>
      </c>
      <c r="L103" t="s">
        <v>28</v>
      </c>
      <c r="M103" t="s">
        <v>29</v>
      </c>
      <c r="N103" t="s">
        <v>30</v>
      </c>
      <c r="O103" t="s">
        <v>31</v>
      </c>
      <c r="P103" t="s">
        <v>181</v>
      </c>
      <c r="Q103">
        <v>0</v>
      </c>
      <c r="R103" t="s">
        <v>214</v>
      </c>
      <c r="S103" t="s">
        <v>232</v>
      </c>
      <c r="T103" t="s">
        <v>144</v>
      </c>
      <c r="U103" t="s">
        <v>238</v>
      </c>
      <c r="V103" t="s">
        <v>240</v>
      </c>
      <c r="W103">
        <v>0</v>
      </c>
      <c r="X103">
        <v>-6000</v>
      </c>
      <c r="Y103" t="s">
        <v>32</v>
      </c>
      <c r="Z103">
        <v>7.86</v>
      </c>
      <c r="AA103">
        <v>7.4669999999999996</v>
      </c>
      <c r="AC103">
        <v>47160</v>
      </c>
      <c r="AD103">
        <f>(Table1[[#This Row],[MtM Price]]-Table1[[#This Row],[Price]])*Table1[[#This Row],[Volume]]</f>
        <v>2358.0000000000041</v>
      </c>
      <c r="AE103" t="s">
        <v>33</v>
      </c>
    </row>
    <row r="104" spans="1:31" x14ac:dyDescent="0.3">
      <c r="A104" t="s">
        <v>127</v>
      </c>
      <c r="B104" t="s">
        <v>137</v>
      </c>
      <c r="C104" t="s">
        <v>22</v>
      </c>
      <c r="D104" t="s">
        <v>129</v>
      </c>
      <c r="E104" t="s">
        <v>24</v>
      </c>
      <c r="F104" t="s">
        <v>25</v>
      </c>
      <c r="G104" t="s">
        <v>37</v>
      </c>
      <c r="H104" t="s">
        <v>27</v>
      </c>
      <c r="I104" s="1">
        <v>45294</v>
      </c>
      <c r="J104" s="1"/>
      <c r="K104" t="s">
        <v>201</v>
      </c>
      <c r="L104" t="s">
        <v>28</v>
      </c>
      <c r="M104" t="s">
        <v>29</v>
      </c>
      <c r="N104" t="s">
        <v>30</v>
      </c>
      <c r="O104" t="s">
        <v>31</v>
      </c>
      <c r="P104" t="s">
        <v>181</v>
      </c>
      <c r="Q104">
        <v>0</v>
      </c>
      <c r="R104" t="s">
        <v>219</v>
      </c>
      <c r="S104" t="s">
        <v>232</v>
      </c>
      <c r="T104" t="s">
        <v>144</v>
      </c>
      <c r="U104" t="s">
        <v>238</v>
      </c>
      <c r="V104" t="s">
        <v>240</v>
      </c>
      <c r="W104">
        <v>0</v>
      </c>
      <c r="X104">
        <v>-1000</v>
      </c>
      <c r="Y104" t="s">
        <v>32</v>
      </c>
      <c r="Z104">
        <v>7.86</v>
      </c>
      <c r="AA104">
        <v>7.4669999999999996</v>
      </c>
      <c r="AC104">
        <v>7860</v>
      </c>
      <c r="AD104">
        <f>(Table1[[#This Row],[MtM Price]]-Table1[[#This Row],[Price]])*Table1[[#This Row],[Volume]]</f>
        <v>393.00000000000068</v>
      </c>
      <c r="AE104" t="s">
        <v>33</v>
      </c>
    </row>
    <row r="105" spans="1:31" x14ac:dyDescent="0.3">
      <c r="A105" t="s">
        <v>127</v>
      </c>
      <c r="B105" t="s">
        <v>138</v>
      </c>
      <c r="C105" t="s">
        <v>22</v>
      </c>
      <c r="D105" t="s">
        <v>129</v>
      </c>
      <c r="E105" t="s">
        <v>24</v>
      </c>
      <c r="F105" t="s">
        <v>25</v>
      </c>
      <c r="G105" t="s">
        <v>37</v>
      </c>
      <c r="H105" t="s">
        <v>27</v>
      </c>
      <c r="I105" s="1">
        <v>45299</v>
      </c>
      <c r="J105" s="1"/>
      <c r="K105" t="s">
        <v>201</v>
      </c>
      <c r="L105" t="s">
        <v>28</v>
      </c>
      <c r="M105" t="s">
        <v>29</v>
      </c>
      <c r="N105" t="s">
        <v>30</v>
      </c>
      <c r="O105" t="s">
        <v>31</v>
      </c>
      <c r="P105" t="s">
        <v>181</v>
      </c>
      <c r="Q105">
        <v>0</v>
      </c>
      <c r="R105" t="s">
        <v>213</v>
      </c>
      <c r="S105" t="s">
        <v>232</v>
      </c>
      <c r="T105" t="s">
        <v>144</v>
      </c>
      <c r="U105" t="s">
        <v>238</v>
      </c>
      <c r="V105" t="s">
        <v>240</v>
      </c>
      <c r="W105">
        <v>0</v>
      </c>
      <c r="X105">
        <v>-5000</v>
      </c>
      <c r="Y105" t="s">
        <v>32</v>
      </c>
      <c r="Z105">
        <v>7.78</v>
      </c>
      <c r="AA105">
        <v>7.391</v>
      </c>
      <c r="AC105">
        <v>38900</v>
      </c>
      <c r="AD105">
        <f>(Table1[[#This Row],[MtM Price]]-Table1[[#This Row],[Price]])*Table1[[#This Row],[Volume]]</f>
        <v>1945.0000000000011</v>
      </c>
      <c r="AE105" t="s">
        <v>33</v>
      </c>
    </row>
    <row r="106" spans="1:31" x14ac:dyDescent="0.3">
      <c r="A106" t="s">
        <v>127</v>
      </c>
      <c r="B106" t="s">
        <v>139</v>
      </c>
      <c r="C106" t="s">
        <v>22</v>
      </c>
      <c r="D106" t="s">
        <v>129</v>
      </c>
      <c r="E106" t="s">
        <v>24</v>
      </c>
      <c r="F106" t="s">
        <v>25</v>
      </c>
      <c r="G106" t="s">
        <v>37</v>
      </c>
      <c r="H106" t="s">
        <v>27</v>
      </c>
      <c r="I106" s="1">
        <v>45294</v>
      </c>
      <c r="J106" s="1"/>
      <c r="K106" t="s">
        <v>201</v>
      </c>
      <c r="L106" t="s">
        <v>28</v>
      </c>
      <c r="M106" t="s">
        <v>29</v>
      </c>
      <c r="N106" t="s">
        <v>30</v>
      </c>
      <c r="O106" t="s">
        <v>31</v>
      </c>
      <c r="P106" t="s">
        <v>181</v>
      </c>
      <c r="Q106">
        <v>0</v>
      </c>
      <c r="R106" t="s">
        <v>228</v>
      </c>
      <c r="S106" t="s">
        <v>232</v>
      </c>
      <c r="T106" t="s">
        <v>144</v>
      </c>
      <c r="U106" t="s">
        <v>238</v>
      </c>
      <c r="V106" t="s">
        <v>240</v>
      </c>
      <c r="W106">
        <v>0</v>
      </c>
      <c r="X106">
        <v>-1000</v>
      </c>
      <c r="Y106" t="s">
        <v>32</v>
      </c>
      <c r="Z106">
        <v>7.78</v>
      </c>
      <c r="AA106">
        <v>7.391</v>
      </c>
      <c r="AC106">
        <v>7780</v>
      </c>
      <c r="AD106">
        <f>(Table1[[#This Row],[MtM Price]]-Table1[[#This Row],[Price]])*Table1[[#This Row],[Volume]]</f>
        <v>389.00000000000023</v>
      </c>
      <c r="AE106" t="s">
        <v>33</v>
      </c>
    </row>
    <row r="107" spans="1:31" x14ac:dyDescent="0.3">
      <c r="A107" t="s">
        <v>127</v>
      </c>
      <c r="B107" t="s">
        <v>140</v>
      </c>
      <c r="C107" t="s">
        <v>22</v>
      </c>
      <c r="D107" t="s">
        <v>129</v>
      </c>
      <c r="E107" t="s">
        <v>24</v>
      </c>
      <c r="F107" t="s">
        <v>25</v>
      </c>
      <c r="G107" t="s">
        <v>26</v>
      </c>
      <c r="H107" t="s">
        <v>27</v>
      </c>
      <c r="I107" s="1">
        <v>45294</v>
      </c>
      <c r="J107" s="1">
        <v>45294</v>
      </c>
      <c r="K107" t="s">
        <v>201</v>
      </c>
      <c r="L107" t="s">
        <v>28</v>
      </c>
      <c r="M107" t="s">
        <v>29</v>
      </c>
      <c r="N107" t="s">
        <v>30</v>
      </c>
      <c r="O107" t="s">
        <v>31</v>
      </c>
      <c r="P107" t="s">
        <v>181</v>
      </c>
      <c r="Q107">
        <v>0</v>
      </c>
      <c r="R107" t="s">
        <v>213</v>
      </c>
      <c r="S107" t="s">
        <v>232</v>
      </c>
      <c r="T107" t="s">
        <v>144</v>
      </c>
      <c r="U107" t="s">
        <v>238</v>
      </c>
      <c r="V107" t="s">
        <v>240</v>
      </c>
      <c r="W107">
        <v>100</v>
      </c>
      <c r="X107">
        <v>5000</v>
      </c>
      <c r="Y107" t="s">
        <v>32</v>
      </c>
      <c r="Z107">
        <v>7.9</v>
      </c>
      <c r="AA107">
        <v>8.2949999999999999</v>
      </c>
      <c r="AB107">
        <v>-39500</v>
      </c>
      <c r="AD107">
        <f>(Table1[[#This Row],[MtM Price]]-Table1[[#This Row],[Price]])*Table1[[#This Row],[Volume]]</f>
        <v>1974.999999999998</v>
      </c>
      <c r="AE107" t="s">
        <v>33</v>
      </c>
    </row>
    <row r="108" spans="1:31" x14ac:dyDescent="0.3">
      <c r="A108" t="s">
        <v>127</v>
      </c>
      <c r="B108" t="s">
        <v>141</v>
      </c>
      <c r="C108" t="s">
        <v>22</v>
      </c>
      <c r="D108" t="s">
        <v>129</v>
      </c>
      <c r="E108" t="s">
        <v>24</v>
      </c>
      <c r="F108" t="s">
        <v>25</v>
      </c>
      <c r="G108" t="s">
        <v>26</v>
      </c>
      <c r="H108" t="s">
        <v>27</v>
      </c>
      <c r="I108" s="1">
        <v>45294</v>
      </c>
      <c r="J108" s="1">
        <v>45294</v>
      </c>
      <c r="K108" t="s">
        <v>201</v>
      </c>
      <c r="L108" t="s">
        <v>28</v>
      </c>
      <c r="M108" t="s">
        <v>29</v>
      </c>
      <c r="N108" t="s">
        <v>30</v>
      </c>
      <c r="O108" t="s">
        <v>31</v>
      </c>
      <c r="P108" t="s">
        <v>181</v>
      </c>
      <c r="Q108">
        <v>0</v>
      </c>
      <c r="R108" t="s">
        <v>213</v>
      </c>
      <c r="S108" t="s">
        <v>232</v>
      </c>
      <c r="T108" t="s">
        <v>144</v>
      </c>
      <c r="U108" t="s">
        <v>238</v>
      </c>
      <c r="V108" t="s">
        <v>240</v>
      </c>
      <c r="W108">
        <v>100</v>
      </c>
      <c r="X108">
        <v>9000</v>
      </c>
      <c r="Y108" t="s">
        <v>32</v>
      </c>
      <c r="Z108">
        <v>7.9</v>
      </c>
      <c r="AA108">
        <v>8.2949999999999999</v>
      </c>
      <c r="AB108">
        <v>-71100</v>
      </c>
      <c r="AD108">
        <f>(Table1[[#This Row],[MtM Price]]-Table1[[#This Row],[Price]])*Table1[[#This Row],[Volume]]</f>
        <v>3554.9999999999964</v>
      </c>
      <c r="AE108" t="s">
        <v>33</v>
      </c>
    </row>
    <row r="109" spans="1:31" x14ac:dyDescent="0.3">
      <c r="A109" t="s">
        <v>127</v>
      </c>
      <c r="B109" t="s">
        <v>142</v>
      </c>
      <c r="C109" t="s">
        <v>22</v>
      </c>
      <c r="D109" t="s">
        <v>129</v>
      </c>
      <c r="E109" t="s">
        <v>24</v>
      </c>
      <c r="F109" t="s">
        <v>25</v>
      </c>
      <c r="G109" t="s">
        <v>26</v>
      </c>
      <c r="H109" t="s">
        <v>27</v>
      </c>
      <c r="I109" s="1">
        <v>45294</v>
      </c>
      <c r="J109" s="1">
        <v>45294</v>
      </c>
      <c r="K109" t="s">
        <v>201</v>
      </c>
      <c r="L109" t="s">
        <v>28</v>
      </c>
      <c r="M109" t="s">
        <v>29</v>
      </c>
      <c r="N109" t="s">
        <v>30</v>
      </c>
      <c r="O109" t="s">
        <v>31</v>
      </c>
      <c r="P109" t="s">
        <v>181</v>
      </c>
      <c r="Q109">
        <v>0</v>
      </c>
      <c r="R109" t="s">
        <v>213</v>
      </c>
      <c r="S109" t="s">
        <v>232</v>
      </c>
      <c r="T109" t="s">
        <v>144</v>
      </c>
      <c r="U109" t="s">
        <v>238</v>
      </c>
      <c r="V109" t="s">
        <v>240</v>
      </c>
      <c r="W109">
        <v>100</v>
      </c>
      <c r="X109">
        <v>2000</v>
      </c>
      <c r="Y109" t="s">
        <v>32</v>
      </c>
      <c r="Z109">
        <v>7.9</v>
      </c>
      <c r="AA109">
        <v>8.2949999999999999</v>
      </c>
      <c r="AB109">
        <v>-15800</v>
      </c>
      <c r="AD109">
        <f>(Table1[[#This Row],[MtM Price]]-Table1[[#This Row],[Price]])*Table1[[#This Row],[Volume]]</f>
        <v>789.99999999999909</v>
      </c>
      <c r="AE109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7acdd116-a279-4fbd-809b-10105d780b1f}" enabled="1" method="Standard" siteId="{e30c25ee-7400-479f-ae89-e5d36e2301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Naveen Gandhi Raj Mohan</cp:lastModifiedBy>
  <dcterms:created xsi:type="dcterms:W3CDTF">2016-07-06T08:22:49Z</dcterms:created>
  <dcterms:modified xsi:type="dcterms:W3CDTF">2025-11-15T12:27:21Z</dcterms:modified>
</cp:coreProperties>
</file>